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ランキング100" sheetId="1" state="visible" r:id="rId1"/>
    <sheet name="広告の状況" sheetId="2" state="visible" r:id="rId2"/>
    <sheet name="調査の根拠" sheetId="3" state="visible" r:id="rId3"/>
  </sheets>
  <definedNames>
    <definedName name="_xlnm._FilterDatabase" localSheetId="0" hidden="1">'ランキング100'!$A$4:$N$104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b val="1"/>
      <color rgb="000E1420"/>
      <sz val="16"/>
    </font>
    <font>
      <name val="Meiryo"/>
      <color rgb="00555555"/>
      <sz val="9"/>
    </font>
    <font>
      <name val="Meiryo"/>
      <b val="1"/>
      <color rgb="00FFFFFF"/>
      <sz val="10"/>
    </font>
    <font>
      <name val="Meiryo"/>
      <sz val="10"/>
    </font>
    <font>
      <name val="Meiryo"/>
      <color rgb="000000FF"/>
      <sz val="10"/>
    </font>
    <font>
      <name val="Meiryo"/>
      <b val="1"/>
      <sz val="10"/>
    </font>
    <font>
      <name val="Meiryo"/>
      <b val="1"/>
      <color rgb="000E1420"/>
      <sz val="14"/>
    </font>
  </fonts>
  <fills count="5">
    <fill>
      <patternFill/>
    </fill>
    <fill>
      <patternFill patternType="gray125"/>
    </fill>
    <fill>
      <patternFill patternType="solid">
        <fgColor rgb="001F3A5F"/>
      </patternFill>
    </fill>
    <fill>
      <patternFill patternType="solid">
        <fgColor rgb="00FFF4D6"/>
      </patternFill>
    </fill>
    <fill>
      <patternFill patternType="solid">
        <fgColor rgb="00DFF3E4"/>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6" fillId="0" borderId="1" applyAlignment="1" pivotButton="0" quotePrefix="0" xfId="0">
      <alignment horizontal="center" vertical="center"/>
    </xf>
    <xf numFmtId="0" fontId="4" fillId="0" borderId="1" applyAlignment="1" pivotButton="0" quotePrefix="0" xfId="0">
      <alignment vertical="center" wrapText="1"/>
    </xf>
    <xf numFmtId="0" fontId="5" fillId="0" borderId="1" applyAlignment="1" pivotButton="0" quotePrefix="0" xfId="0">
      <alignment horizontal="center" vertical="center"/>
    </xf>
    <xf numFmtId="0" fontId="4" fillId="0" borderId="1" applyAlignment="1" pivotButton="0" quotePrefix="0" xfId="0">
      <alignment horizontal="center" vertical="center"/>
    </xf>
    <xf numFmtId="0" fontId="4" fillId="3" borderId="1" applyAlignment="1" pivotButton="0" quotePrefix="0" xfId="0">
      <alignment vertical="center" wrapText="1"/>
    </xf>
    <xf numFmtId="0" fontId="4" fillId="4" borderId="1" applyAlignment="1" pivotButton="0" quotePrefix="0" xfId="0">
      <alignment vertical="center" wrapText="1"/>
    </xf>
    <xf numFmtId="0" fontId="7" fillId="0" borderId="0" pivotButton="0" quotePrefix="0" xfId="0"/>
    <xf numFmtId="0" fontId="3"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4" customWidth="1" min="3" max="3"/>
    <col width="20" customWidth="1" min="4" max="4"/>
    <col width="44" customWidth="1" min="5" max="5"/>
    <col width="24" customWidth="1" min="6" max="6"/>
    <col width="9" customWidth="1" min="7" max="7"/>
    <col width="9" customWidth="1" min="8" max="8"/>
    <col width="9" customWidth="1" min="9" max="9"/>
    <col width="8" customWidth="1" min="10" max="10"/>
    <col width="10" customWidth="1" min="11" max="11"/>
    <col width="22" customWidth="1" min="12" max="12"/>
    <col width="10" customWidth="1" min="13" max="13"/>
    <col width="11" customWidth="1" min="14" max="14"/>
  </cols>
  <sheetData>
    <row r="1">
      <c r="A1" s="1" t="inlineStr">
        <is>
          <t>みんなの「困った」× 今すぐできる自動化 ランキング100</t>
        </is>
      </c>
    </row>
    <row r="2">
      <c r="A2" s="2" t="inlineStr">
        <is>
          <t>合計点 ＝ 困っている人の多さ×2 ＋ 自動化のしやすさ ＋ 案内できる広告・サービス。点数（1〜5）は青い数字で、変えると順位と記事の回が自動で入れ替わります。</t>
        </is>
      </c>
    </row>
    <row r="4" ht="36" customHeight="1">
      <c r="A4" s="3" t="inlineStr">
        <is>
          <t>順位</t>
        </is>
      </c>
      <c r="B4" s="3" t="inlineStr">
        <is>
          <t>困りごと</t>
        </is>
      </c>
      <c r="C4" s="3" t="inlineStr">
        <is>
          <t>分野</t>
        </is>
      </c>
      <c r="D4" s="3" t="inlineStr">
        <is>
          <t>今のやり方</t>
        </is>
      </c>
      <c r="E4" s="3" t="inlineStr">
        <is>
          <t>自動化の方法</t>
        </is>
      </c>
      <c r="F4" s="3" t="inlineStr">
        <is>
          <t>道具の例</t>
        </is>
      </c>
      <c r="G4" s="3" t="inlineStr">
        <is>
          <t>困っている人の多さ</t>
        </is>
      </c>
      <c r="H4" s="3" t="inlineStr">
        <is>
          <t>自動化のしやすさ</t>
        </is>
      </c>
      <c r="I4" s="3" t="inlineStr">
        <is>
          <t>案内できる広告・サービス</t>
        </is>
      </c>
      <c r="J4" s="3" t="inlineStr">
        <is>
          <t>合計点</t>
        </is>
      </c>
      <c r="K4" s="3" t="inlineStr">
        <is>
          <t>記事の回（1日3つ）</t>
        </is>
      </c>
      <c r="L4" s="3" t="inlineStr">
        <is>
          <t>広告のジャンル</t>
        </is>
      </c>
      <c r="M4" s="3" t="inlineStr">
        <is>
          <t>広告の状況</t>
        </is>
      </c>
      <c r="N4" s="3" t="inlineStr">
        <is>
          <t>根拠</t>
        </is>
      </c>
    </row>
    <row r="5" ht="34" customHeight="1">
      <c r="A5" s="4">
        <f>RANK(J5,$J$5:$J$104)+COUNTIF($J$5:J5,J5)-1</f>
        <v/>
      </c>
      <c r="B5" s="5" t="inlineStr">
        <is>
          <t>仕訳入力・帳簿付け</t>
        </is>
      </c>
      <c r="C5" s="5" t="inlineStr">
        <is>
          <t>経理・事務</t>
        </is>
      </c>
      <c r="D5" s="5" t="inlineStr">
        <is>
          <t>通帳を見て手入力</t>
        </is>
      </c>
      <c r="E5" s="5" t="inlineStr">
        <is>
          <t>会計ソフトに銀行・カードをつないで自動仕訳</t>
        </is>
      </c>
      <c r="F5" s="5" t="inlineStr">
        <is>
          <t>会計ソフト</t>
        </is>
      </c>
      <c r="G5" s="6" t="n">
        <v>5</v>
      </c>
      <c r="H5" s="6" t="n">
        <v>5</v>
      </c>
      <c r="I5" s="6" t="n">
        <v>5</v>
      </c>
      <c r="J5" s="7">
        <f>G5*2+H5+I5</f>
        <v/>
      </c>
      <c r="K5" s="7">
        <f>ROUNDUP(A5/3,0)</f>
        <v/>
      </c>
      <c r="L5" s="5" t="inlineStr">
        <is>
          <t>会計ソフト</t>
        </is>
      </c>
      <c r="M5" s="8" t="inlineStr">
        <is>
          <t>申請候補</t>
        </is>
      </c>
      <c r="N5" s="5" t="inlineStr">
        <is>
          <t>調査あり⑤</t>
        </is>
      </c>
    </row>
    <row r="6" ht="34" customHeight="1">
      <c r="A6" s="4">
        <f>RANK(J6,$J$5:$J$104)+COUNTIF($J$5:J6,J6)-1</f>
        <v/>
      </c>
      <c r="B6" s="5" t="inlineStr">
        <is>
          <t>請求書の作成・送付</t>
        </is>
      </c>
      <c r="C6" s="5" t="inlineStr">
        <is>
          <t>経理・事務</t>
        </is>
      </c>
      <c r="D6" s="5" t="inlineStr">
        <is>
          <t>毎月Excelで作って郵送</t>
        </is>
      </c>
      <c r="E6" s="5" t="inlineStr">
        <is>
          <t>請求書ソフトで毎月自動作成・送付</t>
        </is>
      </c>
      <c r="F6" s="5" t="inlineStr">
        <is>
          <t>請求書ソフト</t>
        </is>
      </c>
      <c r="G6" s="6" t="n">
        <v>5</v>
      </c>
      <c r="H6" s="6" t="n">
        <v>5</v>
      </c>
      <c r="I6" s="6" t="n">
        <v>5</v>
      </c>
      <c r="J6" s="7">
        <f>G6*2+H6+I6</f>
        <v/>
      </c>
      <c r="K6" s="7">
        <f>ROUNDUP(A6/3,0)</f>
        <v/>
      </c>
      <c r="L6" s="5" t="inlineStr">
        <is>
          <t>会計・請求書ソフト</t>
        </is>
      </c>
      <c r="M6" s="8" t="inlineStr">
        <is>
          <t>申請候補</t>
        </is>
      </c>
      <c r="N6" s="5" t="inlineStr">
        <is>
          <t>推定</t>
        </is>
      </c>
    </row>
    <row r="7" ht="34" customHeight="1">
      <c r="A7" s="4">
        <f>RANK(J7,$J$5:$J$104)+COUNTIF($J$5:J7,J7)-1</f>
        <v/>
      </c>
      <c r="B7" s="5" t="inlineStr">
        <is>
          <t>毎日の献立を考える</t>
        </is>
      </c>
      <c r="C7" s="5" t="inlineStr">
        <is>
          <t>家事</t>
        </is>
      </c>
      <c r="D7" s="5" t="inlineStr">
        <is>
          <t>毎日その場で考える</t>
        </is>
      </c>
      <c r="E7" s="5" t="inlineStr">
        <is>
          <t>冷蔵庫の中身と家族の好みをAIに伝え、1週間分の献立と買い物リストを作らせる</t>
        </is>
      </c>
      <c r="F7" s="5" t="inlineStr">
        <is>
          <t>ChatGPT・Claude、献立アプリ</t>
        </is>
      </c>
      <c r="G7" s="6" t="n">
        <v>5</v>
      </c>
      <c r="H7" s="6" t="n">
        <v>5</v>
      </c>
      <c r="I7" s="6" t="n">
        <v>4</v>
      </c>
      <c r="J7" s="7">
        <f>G7*2+H7+I7</f>
        <v/>
      </c>
      <c r="K7" s="7">
        <f>ROUNDUP(A7/3,0)</f>
        <v/>
      </c>
      <c r="L7" s="5" t="inlineStr">
        <is>
          <t>宅配食・ミールキット</t>
        </is>
      </c>
      <c r="M7" s="9" t="inlineStr">
        <is>
          <t>提携済み</t>
        </is>
      </c>
      <c r="N7" s="5" t="inlineStr">
        <is>
          <t>調査あり①</t>
        </is>
      </c>
    </row>
    <row r="8" ht="34" customHeight="1">
      <c r="A8" s="4">
        <f>RANK(J8,$J$5:$J$104)+COUNTIF($J$5:J8,J8)-1</f>
        <v/>
      </c>
      <c r="B8" s="5" t="inlineStr">
        <is>
          <t>料理の下ごしらえと調理</t>
        </is>
      </c>
      <c r="C8" s="5" t="inlineStr">
        <is>
          <t>家事</t>
        </is>
      </c>
      <c r="D8" s="5" t="inlineStr">
        <is>
          <t>毎日手作業</t>
        </is>
      </c>
      <c r="E8" s="5" t="inlineStr">
        <is>
          <t>ミールキットや宅配食に置き換え、自動調理鍋で放置調理にする</t>
        </is>
      </c>
      <c r="F8" s="5" t="inlineStr">
        <is>
          <t>宅配食、自動調理鍋</t>
        </is>
      </c>
      <c r="G8" s="6" t="n">
        <v>5</v>
      </c>
      <c r="H8" s="6" t="n">
        <v>4</v>
      </c>
      <c r="I8" s="6" t="n">
        <v>5</v>
      </c>
      <c r="J8" s="7">
        <f>G8*2+H8+I8</f>
        <v/>
      </c>
      <c r="K8" s="7">
        <f>ROUNDUP(A8/3,0)</f>
        <v/>
      </c>
      <c r="L8" s="5" t="inlineStr">
        <is>
          <t>宅配食・調理家電</t>
        </is>
      </c>
      <c r="M8" s="9" t="inlineStr">
        <is>
          <t>提携済み</t>
        </is>
      </c>
      <c r="N8" s="5" t="inlineStr">
        <is>
          <t>調査あり②</t>
        </is>
      </c>
    </row>
    <row r="9" ht="34" customHeight="1">
      <c r="A9" s="4">
        <f>RANK(J9,$J$5:$J$104)+COUNTIF($J$5:J9,J9)-1</f>
        <v/>
      </c>
      <c r="B9" s="5" t="inlineStr">
        <is>
          <t>掃除機がけ</t>
        </is>
      </c>
      <c r="C9" s="5" t="inlineStr">
        <is>
          <t>家事</t>
        </is>
      </c>
      <c r="D9" s="5" t="inlineStr">
        <is>
          <t>毎日手で</t>
        </is>
      </c>
      <c r="E9" s="5" t="inlineStr">
        <is>
          <t>ロボット掃除機に毎日決まった時刻で任せる</t>
        </is>
      </c>
      <c r="F9" s="5" t="inlineStr">
        <is>
          <t>ロボット掃除機</t>
        </is>
      </c>
      <c r="G9" s="6" t="n">
        <v>5</v>
      </c>
      <c r="H9" s="6" t="n">
        <v>5</v>
      </c>
      <c r="I9" s="6" t="n">
        <v>4</v>
      </c>
      <c r="J9" s="7">
        <f>G9*2+H9+I9</f>
        <v/>
      </c>
      <c r="K9" s="7">
        <f>ROUNDUP(A9/3,0)</f>
        <v/>
      </c>
      <c r="L9" s="5" t="inlineStr">
        <is>
          <t>生活家電（楽天）</t>
        </is>
      </c>
      <c r="M9" s="5" t="inlineStr">
        <is>
          <t>楽天で可</t>
        </is>
      </c>
      <c r="N9" s="5" t="inlineStr">
        <is>
          <t>調査あり②</t>
        </is>
      </c>
    </row>
    <row r="10" ht="34" customHeight="1">
      <c r="A10" s="4">
        <f>RANK(J10,$J$5:$J$104)+COUNTIF($J$5:J10,J10)-1</f>
        <v/>
      </c>
      <c r="B10" s="5" t="inlineStr">
        <is>
          <t>皿洗い</t>
        </is>
      </c>
      <c r="C10" s="5" t="inlineStr">
        <is>
          <t>家事</t>
        </is>
      </c>
      <c r="D10" s="5" t="inlineStr">
        <is>
          <t>毎食後に手洗い</t>
        </is>
      </c>
      <c r="E10" s="5" t="inlineStr">
        <is>
          <t>食洗機に入れるだけにする</t>
        </is>
      </c>
      <c r="F10" s="5" t="inlineStr">
        <is>
          <t>食洗機</t>
        </is>
      </c>
      <c r="G10" s="6" t="n">
        <v>5</v>
      </c>
      <c r="H10" s="6" t="n">
        <v>5</v>
      </c>
      <c r="I10" s="6" t="n">
        <v>4</v>
      </c>
      <c r="J10" s="7">
        <f>G10*2+H10+I10</f>
        <v/>
      </c>
      <c r="K10" s="7">
        <f>ROUNDUP(A10/3,0)</f>
        <v/>
      </c>
      <c r="L10" s="5" t="inlineStr">
        <is>
          <t>生活家電（楽天）</t>
        </is>
      </c>
      <c r="M10" s="5" t="inlineStr">
        <is>
          <t>楽天で可</t>
        </is>
      </c>
      <c r="N10" s="5" t="inlineStr">
        <is>
          <t>調査あり③</t>
        </is>
      </c>
    </row>
    <row r="11" ht="34" customHeight="1">
      <c r="A11" s="4">
        <f>RANK(J11,$J$5:$J$104)+COUNTIF($J$5:J11,J11)-1</f>
        <v/>
      </c>
      <c r="B11" s="5" t="inlineStr">
        <is>
          <t>家計簿が続かない</t>
        </is>
      </c>
      <c r="C11" s="5" t="inlineStr">
        <is>
          <t>お金</t>
        </is>
      </c>
      <c r="D11" s="5" t="inlineStr">
        <is>
          <t>レシートを手で入力</t>
        </is>
      </c>
      <c r="E11" s="5" t="inlineStr">
        <is>
          <t>家計簿アプリに口座とカードをつないで自動記帳</t>
        </is>
      </c>
      <c r="F11" s="5" t="inlineStr">
        <is>
          <t>家計簿アプリ</t>
        </is>
      </c>
      <c r="G11" s="6" t="n">
        <v>5</v>
      </c>
      <c r="H11" s="6" t="n">
        <v>5</v>
      </c>
      <c r="I11" s="6" t="n">
        <v>4</v>
      </c>
      <c r="J11" s="7">
        <f>G11*2+H11+I11</f>
        <v/>
      </c>
      <c r="K11" s="7">
        <f>ROUNDUP(A11/3,0)</f>
        <v/>
      </c>
      <c r="L11" s="5" t="inlineStr">
        <is>
          <t>家計簿アプリ</t>
        </is>
      </c>
      <c r="M11" s="8" t="inlineStr">
        <is>
          <t>申請候補</t>
        </is>
      </c>
      <c r="N11" s="5" t="inlineStr">
        <is>
          <t>推定</t>
        </is>
      </c>
    </row>
    <row r="12" ht="34" customHeight="1">
      <c r="A12" s="4">
        <f>RANK(J12,$J$5:$J$104)+COUNTIF($J$5:J12,J12)-1</f>
        <v/>
      </c>
      <c r="B12" s="5" t="inlineStr">
        <is>
          <t>会議の議事録</t>
        </is>
      </c>
      <c r="C12" s="5" t="inlineStr">
        <is>
          <t>会社員</t>
        </is>
      </c>
      <c r="D12" s="5" t="inlineStr">
        <is>
          <t>聞きながら手で書く</t>
        </is>
      </c>
      <c r="E12" s="5" t="inlineStr">
        <is>
          <t>文字起こしAIで録音から議事録まで自動作成</t>
        </is>
      </c>
      <c r="F12" s="5" t="inlineStr">
        <is>
          <t>文字起こしAI</t>
        </is>
      </c>
      <c r="G12" s="6" t="n">
        <v>5</v>
      </c>
      <c r="H12" s="6" t="n">
        <v>5</v>
      </c>
      <c r="I12" s="6" t="n">
        <v>4</v>
      </c>
      <c r="J12" s="7">
        <f>G12*2+H12+I12</f>
        <v/>
      </c>
      <c r="K12" s="7">
        <f>ROUNDUP(A12/3,0)</f>
        <v/>
      </c>
      <c r="L12" s="5" t="inlineStr">
        <is>
          <t>文字起こしツール</t>
        </is>
      </c>
      <c r="M12" s="8" t="inlineStr">
        <is>
          <t>申請候補</t>
        </is>
      </c>
      <c r="N12" s="5" t="inlineStr">
        <is>
          <t>推定</t>
        </is>
      </c>
    </row>
    <row r="13" ht="34" customHeight="1">
      <c r="A13" s="4">
        <f>RANK(J13,$J$5:$J$104)+COUNTIF($J$5:J13,J13)-1</f>
        <v/>
      </c>
      <c r="B13" s="5" t="inlineStr">
        <is>
          <t>経費精算</t>
        </is>
      </c>
      <c r="C13" s="5" t="inlineStr">
        <is>
          <t>会社員</t>
        </is>
      </c>
      <c r="D13" s="5" t="inlineStr">
        <is>
          <t>領収書を貼って手入力</t>
        </is>
      </c>
      <c r="E13" s="5" t="inlineStr">
        <is>
          <t>領収書をスマホで撮るだけで読み取り・申請</t>
        </is>
      </c>
      <c r="F13" s="5" t="inlineStr">
        <is>
          <t>経費精算ソフト</t>
        </is>
      </c>
      <c r="G13" s="6" t="n">
        <v>5</v>
      </c>
      <c r="H13" s="6" t="n">
        <v>4</v>
      </c>
      <c r="I13" s="6" t="n">
        <v>5</v>
      </c>
      <c r="J13" s="7">
        <f>G13*2+H13+I13</f>
        <v/>
      </c>
      <c r="K13" s="7">
        <f>ROUNDUP(A13/3,0)</f>
        <v/>
      </c>
      <c r="L13" s="5" t="inlineStr">
        <is>
          <t>会計・経費精算ソフト</t>
        </is>
      </c>
      <c r="M13" s="8" t="inlineStr">
        <is>
          <t>申請候補</t>
        </is>
      </c>
      <c r="N13" s="5" t="inlineStr">
        <is>
          <t>調査あり⑤</t>
        </is>
      </c>
    </row>
    <row r="14" ht="34" customHeight="1">
      <c r="A14" s="4">
        <f>RANK(J14,$J$5:$J$104)+COUNTIF($J$5:J14,J14)-1</f>
        <v/>
      </c>
      <c r="B14" s="5" t="inlineStr">
        <is>
          <t>確定申告（事業）</t>
        </is>
      </c>
      <c r="C14" s="5" t="inlineStr">
        <is>
          <t>個人事業主</t>
        </is>
      </c>
      <c r="D14" s="5" t="inlineStr">
        <is>
          <t>年度末に1年分まとめて</t>
        </is>
      </c>
      <c r="E14" s="5" t="inlineStr">
        <is>
          <t>日々の自動記帳から申告書まで会計ソフトで作る</t>
        </is>
      </c>
      <c r="F14" s="5" t="inlineStr">
        <is>
          <t>会計ソフト</t>
        </is>
      </c>
      <c r="G14" s="6" t="n">
        <v>5</v>
      </c>
      <c r="H14" s="6" t="n">
        <v>4</v>
      </c>
      <c r="I14" s="6" t="n">
        <v>5</v>
      </c>
      <c r="J14" s="7">
        <f>G14*2+H14+I14</f>
        <v/>
      </c>
      <c r="K14" s="7">
        <f>ROUNDUP(A14/3,0)</f>
        <v/>
      </c>
      <c r="L14" s="5" t="inlineStr">
        <is>
          <t>会計ソフト</t>
        </is>
      </c>
      <c r="M14" s="8" t="inlineStr">
        <is>
          <t>申請候補</t>
        </is>
      </c>
      <c r="N14" s="5" t="inlineStr">
        <is>
          <t>調査あり⑥</t>
        </is>
      </c>
    </row>
    <row r="15" ht="34" customHeight="1">
      <c r="A15" s="4">
        <f>RANK(J15,$J$5:$J$104)+COUNTIF($J$5:J15,J15)-1</f>
        <v/>
      </c>
      <c r="B15" s="5" t="inlineStr">
        <is>
          <t>予約電話の対応</t>
        </is>
      </c>
      <c r="C15" s="5" t="inlineStr">
        <is>
          <t>飲食店</t>
        </is>
      </c>
      <c r="D15" s="5" t="inlineStr">
        <is>
          <t>営業中に手を止めて出る</t>
        </is>
      </c>
      <c r="E15" s="5" t="inlineStr">
        <is>
          <t>ネット予約と電話の自動応答で電話そのものを減らす</t>
        </is>
      </c>
      <c r="F15" s="5" t="inlineStr">
        <is>
          <t>ネット予約、電話自動応答</t>
        </is>
      </c>
      <c r="G15" s="6" t="n">
        <v>5</v>
      </c>
      <c r="H15" s="6" t="n">
        <v>5</v>
      </c>
      <c r="I15" s="6" t="n">
        <v>4</v>
      </c>
      <c r="J15" s="7">
        <f>G15*2+H15+I15</f>
        <v/>
      </c>
      <c r="K15" s="7">
        <f>ROUNDUP(A15/3,0)</f>
        <v/>
      </c>
      <c r="L15" s="5" t="inlineStr">
        <is>
          <t>予約システム・電話自動応答</t>
        </is>
      </c>
      <c r="M15" s="8" t="inlineStr">
        <is>
          <t>申請候補</t>
        </is>
      </c>
      <c r="N15" s="5" t="inlineStr">
        <is>
          <t>調査あり⑦</t>
        </is>
      </c>
    </row>
    <row r="16" ht="34" customHeight="1">
      <c r="A16" s="4">
        <f>RANK(J16,$J$5:$J$104)+COUNTIF($J$5:J16,J16)-1</f>
        <v/>
      </c>
      <c r="B16" s="5" t="inlineStr">
        <is>
          <t>予約管理・ダブルブッキング</t>
        </is>
      </c>
      <c r="C16" s="5" t="inlineStr">
        <is>
          <t>美容室・サロン</t>
        </is>
      </c>
      <c r="D16" s="5" t="inlineStr">
        <is>
          <t>紙の台帳と電話</t>
        </is>
      </c>
      <c r="E16" s="5" t="inlineStr">
        <is>
          <t>ネット予約システムで24時間受付</t>
        </is>
      </c>
      <c r="F16" s="5" t="inlineStr">
        <is>
          <t>予約システム</t>
        </is>
      </c>
      <c r="G16" s="6" t="n">
        <v>5</v>
      </c>
      <c r="H16" s="6" t="n">
        <v>5</v>
      </c>
      <c r="I16" s="6" t="n">
        <v>4</v>
      </c>
      <c r="J16" s="7">
        <f>G16*2+H16+I16</f>
        <v/>
      </c>
      <c r="K16" s="7">
        <f>ROUNDUP(A16/3,0)</f>
        <v/>
      </c>
      <c r="L16" s="5" t="inlineStr">
        <is>
          <t>予約システム</t>
        </is>
      </c>
      <c r="M16" s="8" t="inlineStr">
        <is>
          <t>申請候補</t>
        </is>
      </c>
      <c r="N16" s="5" t="inlineStr">
        <is>
          <t>推定</t>
        </is>
      </c>
    </row>
    <row r="17" ht="34" customHeight="1">
      <c r="A17" s="4">
        <f>RANK(J17,$J$5:$J$104)+COUNTIF($J$5:J17,J17)-1</f>
        <v/>
      </c>
      <c r="B17" s="5" t="inlineStr">
        <is>
          <t>洗濯物を干す・取り込む</t>
        </is>
      </c>
      <c r="C17" s="5" t="inlineStr">
        <is>
          <t>家事</t>
        </is>
      </c>
      <c r="D17" s="5" t="inlineStr">
        <is>
          <t>毎日手で干す</t>
        </is>
      </c>
      <c r="E17" s="5" t="inlineStr">
        <is>
          <t>ドラム式洗濯乾燥機で「干す」をなくす</t>
        </is>
      </c>
      <c r="F17" s="5" t="inlineStr">
        <is>
          <t>ドラム式洗濯乾燥機</t>
        </is>
      </c>
      <c r="G17" s="6" t="n">
        <v>5</v>
      </c>
      <c r="H17" s="6" t="n">
        <v>4</v>
      </c>
      <c r="I17" s="6" t="n">
        <v>4</v>
      </c>
      <c r="J17" s="7">
        <f>G17*2+H17+I17</f>
        <v/>
      </c>
      <c r="K17" s="7">
        <f>ROUNDUP(A17/3,0)</f>
        <v/>
      </c>
      <c r="L17" s="5" t="inlineStr">
        <is>
          <t>調理・生活家電（楽天）</t>
        </is>
      </c>
      <c r="M17" s="5" t="inlineStr">
        <is>
          <t>楽天で可</t>
        </is>
      </c>
      <c r="N17" s="5" t="inlineStr">
        <is>
          <t>調査あり②</t>
        </is>
      </c>
    </row>
    <row r="18" ht="34" customHeight="1">
      <c r="A18" s="4">
        <f>RANK(J18,$J$5:$J$104)+COUNTIF($J$5:J18,J18)-1</f>
        <v/>
      </c>
      <c r="B18" s="5" t="inlineStr">
        <is>
          <t>メールの返信文を考える</t>
        </is>
      </c>
      <c r="C18" s="5" t="inlineStr">
        <is>
          <t>会社員</t>
        </is>
      </c>
      <c r="D18" s="5" t="inlineStr">
        <is>
          <t>一通ずつ考えて書く</t>
        </is>
      </c>
      <c r="E18" s="5" t="inlineStr">
        <is>
          <t>要点を伝えてAIに下書きを作らせる</t>
        </is>
      </c>
      <c r="F18" s="5" t="inlineStr">
        <is>
          <t>ChatGPT・Claude</t>
        </is>
      </c>
      <c r="G18" s="6" t="n">
        <v>5</v>
      </c>
      <c r="H18" s="6" t="n">
        <v>5</v>
      </c>
      <c r="I18" s="6" t="n">
        <v>3</v>
      </c>
      <c r="J18" s="7">
        <f>G18*2+H18+I18</f>
        <v/>
      </c>
      <c r="K18" s="7">
        <f>ROUNDUP(A18/3,0)</f>
        <v/>
      </c>
      <c r="L18" s="5" t="inlineStr">
        <is>
          <t>AI講座</t>
        </is>
      </c>
      <c r="M18" s="8" t="inlineStr">
        <is>
          <t>申請候補</t>
        </is>
      </c>
      <c r="N18" s="5" t="inlineStr">
        <is>
          <t>推定</t>
        </is>
      </c>
    </row>
    <row r="19" ht="34" customHeight="1">
      <c r="A19" s="4">
        <f>RANK(J19,$J$5:$J$104)+COUNTIF($J$5:J19,J19)-1</f>
        <v/>
      </c>
      <c r="B19" s="5" t="inlineStr">
        <is>
          <t>資料・スライド作り</t>
        </is>
      </c>
      <c r="C19" s="5" t="inlineStr">
        <is>
          <t>会社員</t>
        </is>
      </c>
      <c r="D19" s="5" t="inlineStr">
        <is>
          <t>白紙から作る</t>
        </is>
      </c>
      <c r="E19" s="5" t="inlineStr">
        <is>
          <t>AIに構成と下書きを作らせ、自分は直すだけにする</t>
        </is>
      </c>
      <c r="F19" s="5" t="inlineStr">
        <is>
          <t>AI、スライドツール</t>
        </is>
      </c>
      <c r="G19" s="6" t="n">
        <v>5</v>
      </c>
      <c r="H19" s="6" t="n">
        <v>4</v>
      </c>
      <c r="I19" s="6" t="n">
        <v>4</v>
      </c>
      <c r="J19" s="7">
        <f>G19*2+H19+I19</f>
        <v/>
      </c>
      <c r="K19" s="7">
        <f>ROUNDUP(A19/3,0)</f>
        <v/>
      </c>
      <c r="L19" s="5" t="inlineStr">
        <is>
          <t>AI講座・スクール</t>
        </is>
      </c>
      <c r="M19" s="8" t="inlineStr">
        <is>
          <t>申請候補</t>
        </is>
      </c>
      <c r="N19" s="5" t="inlineStr">
        <is>
          <t>推定</t>
        </is>
      </c>
    </row>
    <row r="20" ht="34" customHeight="1">
      <c r="A20" s="4">
        <f>RANK(J20,$J$5:$J$104)+COUNTIF($J$5:J20,J20)-1</f>
        <v/>
      </c>
      <c r="B20" s="5" t="inlineStr">
        <is>
          <t>Excelの集計・転記</t>
        </is>
      </c>
      <c r="C20" s="5" t="inlineStr">
        <is>
          <t>会社員</t>
        </is>
      </c>
      <c r="D20" s="5" t="inlineStr">
        <is>
          <t>コピペで転記</t>
        </is>
      </c>
      <c r="E20" s="5" t="inlineStr">
        <is>
          <t>関数やマクロをAIに作らせ、ボタン1つで集計</t>
        </is>
      </c>
      <c r="F20" s="5" t="inlineStr">
        <is>
          <t>Excel、AI</t>
        </is>
      </c>
      <c r="G20" s="6" t="n">
        <v>5</v>
      </c>
      <c r="H20" s="6" t="n">
        <v>4</v>
      </c>
      <c r="I20" s="6" t="n">
        <v>4</v>
      </c>
      <c r="J20" s="7">
        <f>G20*2+H20+I20</f>
        <v/>
      </c>
      <c r="K20" s="7">
        <f>ROUNDUP(A20/3,0)</f>
        <v/>
      </c>
      <c r="L20" s="5" t="inlineStr">
        <is>
          <t>Excel講座</t>
        </is>
      </c>
      <c r="M20" s="8" t="inlineStr">
        <is>
          <t>申請候補</t>
        </is>
      </c>
      <c r="N20" s="5" t="inlineStr">
        <is>
          <t>推定</t>
        </is>
      </c>
    </row>
    <row r="21" ht="34" customHeight="1">
      <c r="A21" s="4">
        <f>RANK(J21,$J$5:$J$104)+COUNTIF($J$5:J21,J21)-1</f>
        <v/>
      </c>
      <c r="B21" s="5" t="inlineStr">
        <is>
          <t>勤怠の集計</t>
        </is>
      </c>
      <c r="C21" s="5" t="inlineStr">
        <is>
          <t>経理・事務</t>
        </is>
      </c>
      <c r="D21" s="5" t="inlineStr">
        <is>
          <t>タイムカードを手で集計</t>
        </is>
      </c>
      <c r="E21" s="5" t="inlineStr">
        <is>
          <t>クラウド勤怠で打刻から集計まで自動</t>
        </is>
      </c>
      <c r="F21" s="5" t="inlineStr">
        <is>
          <t>クラウド勤怠</t>
        </is>
      </c>
      <c r="G21" s="6" t="n">
        <v>4</v>
      </c>
      <c r="H21" s="6" t="n">
        <v>5</v>
      </c>
      <c r="I21" s="6" t="n">
        <v>5</v>
      </c>
      <c r="J21" s="7">
        <f>G21*2+H21+I21</f>
        <v/>
      </c>
      <c r="K21" s="7">
        <f>ROUNDUP(A21/3,0)</f>
        <v/>
      </c>
      <c r="L21" s="5" t="inlineStr">
        <is>
          <t>勤怠管理</t>
        </is>
      </c>
      <c r="M21" s="8" t="inlineStr">
        <is>
          <t>申請候補</t>
        </is>
      </c>
      <c r="N21" s="5" t="inlineStr">
        <is>
          <t>推定</t>
        </is>
      </c>
    </row>
    <row r="22" ht="34" customHeight="1">
      <c r="A22" s="4">
        <f>RANK(J22,$J$5:$J$104)+COUNTIF($J$5:J22,J22)-1</f>
        <v/>
      </c>
      <c r="B22" s="5" t="inlineStr">
        <is>
          <t>SNS投稿の作成と予約</t>
        </is>
      </c>
      <c r="C22" s="5" t="inlineStr">
        <is>
          <t>個人事業主</t>
        </is>
      </c>
      <c r="D22" s="5" t="inlineStr">
        <is>
          <t>毎日その場で考える</t>
        </is>
      </c>
      <c r="E22" s="5" t="inlineStr">
        <is>
          <t>AIで下書きを作り、予約投稿ツールでまとめて予約</t>
        </is>
      </c>
      <c r="F22" s="5" t="inlineStr">
        <is>
          <t>AI、予約投稿ツール</t>
        </is>
      </c>
      <c r="G22" s="6" t="n">
        <v>5</v>
      </c>
      <c r="H22" s="6" t="n">
        <v>4</v>
      </c>
      <c r="I22" s="6" t="n">
        <v>4</v>
      </c>
      <c r="J22" s="7">
        <f>G22*2+H22+I22</f>
        <v/>
      </c>
      <c r="K22" s="7">
        <f>ROUNDUP(A22/3,0)</f>
        <v/>
      </c>
      <c r="L22" s="5" t="inlineStr">
        <is>
          <t>SNS運用ツール</t>
        </is>
      </c>
      <c r="M22" s="8" t="inlineStr">
        <is>
          <t>申請候補</t>
        </is>
      </c>
      <c r="N22" s="5" t="inlineStr">
        <is>
          <t>調査あり⑨</t>
        </is>
      </c>
    </row>
    <row r="23" ht="34" customHeight="1">
      <c r="A23" s="4">
        <f>RANK(J23,$J$5:$J$104)+COUNTIF($J$5:J23,J23)-1</f>
        <v/>
      </c>
      <c r="B23" s="5" t="inlineStr">
        <is>
          <t>アルバイトのシフト作成</t>
        </is>
      </c>
      <c r="C23" s="5" t="inlineStr">
        <is>
          <t>飲食店</t>
        </is>
      </c>
      <c r="D23" s="5" t="inlineStr">
        <is>
          <t>希望を紙で集めて手で組む</t>
        </is>
      </c>
      <c r="E23" s="5" t="inlineStr">
        <is>
          <t>アプリで希望を回収し、シフト案まで自動作成</t>
        </is>
      </c>
      <c r="F23" s="5" t="inlineStr">
        <is>
          <t>シフト管理アプリ</t>
        </is>
      </c>
      <c r="G23" s="6" t="n">
        <v>5</v>
      </c>
      <c r="H23" s="6" t="n">
        <v>4</v>
      </c>
      <c r="I23" s="6" t="n">
        <v>4</v>
      </c>
      <c r="J23" s="7">
        <f>G23*2+H23+I23</f>
        <v/>
      </c>
      <c r="K23" s="7">
        <f>ROUNDUP(A23/3,0)</f>
        <v/>
      </c>
      <c r="L23" s="5" t="inlineStr">
        <is>
          <t>シフト管理</t>
        </is>
      </c>
      <c r="M23" s="8" t="inlineStr">
        <is>
          <t>申請候補</t>
        </is>
      </c>
      <c r="N23" s="5" t="inlineStr">
        <is>
          <t>調査あり⑦</t>
        </is>
      </c>
    </row>
    <row r="24" ht="34" customHeight="1">
      <c r="A24" s="4">
        <f>RANK(J24,$J$5:$J$104)+COUNTIF($J$5:J24,J24)-1</f>
        <v/>
      </c>
      <c r="B24" s="5" t="inlineStr">
        <is>
          <t>英語・資格の勉強が続かない</t>
        </is>
      </c>
      <c r="C24" s="5" t="inlineStr">
        <is>
          <t>健康・学び</t>
        </is>
      </c>
      <c r="D24" s="5" t="inlineStr">
        <is>
          <t>気分で勉強</t>
        </is>
      </c>
      <c r="E24" s="5" t="inlineStr">
        <is>
          <t>学習アプリで毎日の通知と進み具合を自動管理</t>
        </is>
      </c>
      <c r="F24" s="5" t="inlineStr">
        <is>
          <t>学習アプリ、通信講座</t>
        </is>
      </c>
      <c r="G24" s="6" t="n">
        <v>4</v>
      </c>
      <c r="H24" s="6" t="n">
        <v>5</v>
      </c>
      <c r="I24" s="6" t="n">
        <v>5</v>
      </c>
      <c r="J24" s="7">
        <f>G24*2+H24+I24</f>
        <v/>
      </c>
      <c r="K24" s="7">
        <f>ROUNDUP(A24/3,0)</f>
        <v/>
      </c>
      <c r="L24" s="5" t="inlineStr">
        <is>
          <t>通信講座</t>
        </is>
      </c>
      <c r="M24" s="9" t="inlineStr">
        <is>
          <t>提携済み</t>
        </is>
      </c>
      <c r="N24" s="5" t="inlineStr">
        <is>
          <t>推定</t>
        </is>
      </c>
    </row>
    <row r="25" ht="34" customHeight="1">
      <c r="A25" s="4">
        <f>RANK(J25,$J$5:$J$104)+COUNTIF($J$5:J25,J25)-1</f>
        <v/>
      </c>
      <c r="B25" s="5" t="inlineStr">
        <is>
          <t>洗濯物をたたむ・衣類の整理</t>
        </is>
      </c>
      <c r="C25" s="5" t="inlineStr">
        <is>
          <t>家事</t>
        </is>
      </c>
      <c r="D25" s="5" t="inlineStr">
        <is>
          <t>毎日手でたたむ</t>
        </is>
      </c>
      <c r="E25" s="5" t="inlineStr">
        <is>
          <t>ハンガー収納で「たたむ」をなくし、大物は宅配クリーニングへ</t>
        </is>
      </c>
      <c r="F25" s="5" t="inlineStr">
        <is>
          <t>宅配クリーニング、収納用品</t>
        </is>
      </c>
      <c r="G25" s="6" t="n">
        <v>5</v>
      </c>
      <c r="H25" s="6" t="n">
        <v>3</v>
      </c>
      <c r="I25" s="6" t="n">
        <v>4</v>
      </c>
      <c r="J25" s="7">
        <f>G25*2+H25+I25</f>
        <v/>
      </c>
      <c r="K25" s="7">
        <f>ROUNDUP(A25/3,0)</f>
        <v/>
      </c>
      <c r="L25" s="5" t="inlineStr">
        <is>
          <t>宅配クリーニング</t>
        </is>
      </c>
      <c r="M25" s="9" t="inlineStr">
        <is>
          <t>提携済み</t>
        </is>
      </c>
      <c r="N25" s="5" t="inlineStr">
        <is>
          <t>調査あり①</t>
        </is>
      </c>
    </row>
    <row r="26" ht="34" customHeight="1">
      <c r="A26" s="4">
        <f>RANK(J26,$J$5:$J$104)+COUNTIF($J$5:J26,J26)-1</f>
        <v/>
      </c>
      <c r="B26" s="5" t="inlineStr">
        <is>
          <t>換気扇・コンロの油汚れ掃除</t>
        </is>
      </c>
      <c r="C26" s="5" t="inlineStr">
        <is>
          <t>家事</t>
        </is>
      </c>
      <c r="D26" s="5" t="inlineStr">
        <is>
          <t>年末にまとめて苦戦</t>
        </is>
      </c>
      <c r="E26" s="5" t="inlineStr">
        <is>
          <t>ハウスクリーニングを年1〜2回の定期予約にする</t>
        </is>
      </c>
      <c r="F26" s="5" t="inlineStr">
        <is>
          <t>家事代行・ハウスクリーニング</t>
        </is>
      </c>
      <c r="G26" s="6" t="n">
        <v>4</v>
      </c>
      <c r="H26" s="6" t="n">
        <v>4</v>
      </c>
      <c r="I26" s="6" t="n">
        <v>5</v>
      </c>
      <c r="J26" s="7">
        <f>G26*2+H26+I26</f>
        <v/>
      </c>
      <c r="K26" s="7">
        <f>ROUNDUP(A26/3,0)</f>
        <v/>
      </c>
      <c r="L26" s="5" t="inlineStr">
        <is>
          <t>家事代行</t>
        </is>
      </c>
      <c r="M26" s="9" t="inlineStr">
        <is>
          <t>提携済み</t>
        </is>
      </c>
      <c r="N26" s="5" t="inlineStr">
        <is>
          <t>調査あり④</t>
        </is>
      </c>
    </row>
    <row r="27" ht="34" customHeight="1">
      <c r="A27" s="4">
        <f>RANK(J27,$J$5:$J$104)+COUNTIF($J$5:J27,J27)-1</f>
        <v/>
      </c>
      <c r="B27" s="5" t="inlineStr">
        <is>
          <t>日用品の買い忘れ・在庫切れ</t>
        </is>
      </c>
      <c r="C27" s="5" t="inlineStr">
        <is>
          <t>家事</t>
        </is>
      </c>
      <c r="D27" s="5" t="inlineStr">
        <is>
          <t>切れてから買いに行く</t>
        </is>
      </c>
      <c r="E27" s="5" t="inlineStr">
        <is>
          <t>よく使う物を通販の定期便にして自動で届くようにする</t>
        </is>
      </c>
      <c r="F27" s="5" t="inlineStr">
        <is>
          <t>通販の定期便</t>
        </is>
      </c>
      <c r="G27" s="6" t="n">
        <v>4</v>
      </c>
      <c r="H27" s="6" t="n">
        <v>5</v>
      </c>
      <c r="I27" s="6" t="n">
        <v>4</v>
      </c>
      <c r="J27" s="7">
        <f>G27*2+H27+I27</f>
        <v/>
      </c>
      <c r="K27" s="7">
        <f>ROUNDUP(A27/3,0)</f>
        <v/>
      </c>
      <c r="L27" s="5" t="inlineStr">
        <is>
          <t>日用品（楽天）</t>
        </is>
      </c>
      <c r="M27" s="5" t="inlineStr">
        <is>
          <t>楽天で可</t>
        </is>
      </c>
      <c r="N27" s="5" t="inlineStr">
        <is>
          <t>推定</t>
        </is>
      </c>
    </row>
    <row r="28" ht="34" customHeight="1">
      <c r="A28" s="4">
        <f>RANK(J28,$J$5:$J$104)+COUNTIF($J$5:J28,J28)-1</f>
        <v/>
      </c>
      <c r="B28" s="5" t="inlineStr">
        <is>
          <t>不用品の処分・売却</t>
        </is>
      </c>
      <c r="C28" s="5" t="inlineStr">
        <is>
          <t>家事</t>
        </is>
      </c>
      <c r="D28" s="5" t="inlineStr">
        <is>
          <t>捨てるか、店に持ち込む</t>
        </is>
      </c>
      <c r="E28" s="5" t="inlineStr">
        <is>
          <t>箱に詰めて送るだけの宅配買取にする</t>
        </is>
      </c>
      <c r="F28" s="5" t="inlineStr">
        <is>
          <t>宅配買取</t>
        </is>
      </c>
      <c r="G28" s="6" t="n">
        <v>4</v>
      </c>
      <c r="H28" s="6" t="n">
        <v>4</v>
      </c>
      <c r="I28" s="6" t="n">
        <v>5</v>
      </c>
      <c r="J28" s="7">
        <f>G28*2+H28+I28</f>
        <v/>
      </c>
      <c r="K28" s="7">
        <f>ROUNDUP(A28/3,0)</f>
        <v/>
      </c>
      <c r="L28" s="5" t="inlineStr">
        <is>
          <t>宅配買取</t>
        </is>
      </c>
      <c r="M28" s="9" t="inlineStr">
        <is>
          <t>提携済み</t>
        </is>
      </c>
      <c r="N28" s="5" t="inlineStr">
        <is>
          <t>推定</t>
        </is>
      </c>
    </row>
    <row r="29" ht="34" customHeight="1">
      <c r="A29" s="4">
        <f>RANK(J29,$J$5:$J$104)+COUNTIF($J$5:J29,J29)-1</f>
        <v/>
      </c>
      <c r="B29" s="5" t="inlineStr">
        <is>
          <t>子どもの勉強を見る時間がない</t>
        </is>
      </c>
      <c r="C29" s="5" t="inlineStr">
        <is>
          <t>子育て・家族</t>
        </is>
      </c>
      <c r="D29" s="5" t="inlineStr">
        <is>
          <t>親が付きっきり</t>
        </is>
      </c>
      <c r="E29" s="5" t="inlineStr">
        <is>
          <t>AI教材や通信教育で進み具合を自動管理</t>
        </is>
      </c>
      <c r="F29" s="5" t="inlineStr">
        <is>
          <t>通信教育、AI教材</t>
        </is>
      </c>
      <c r="G29" s="6" t="n">
        <v>4</v>
      </c>
      <c r="H29" s="6" t="n">
        <v>4</v>
      </c>
      <c r="I29" s="6" t="n">
        <v>5</v>
      </c>
      <c r="J29" s="7">
        <f>G29*2+H29+I29</f>
        <v/>
      </c>
      <c r="K29" s="7">
        <f>ROUNDUP(A29/3,0)</f>
        <v/>
      </c>
      <c r="L29" s="5" t="inlineStr">
        <is>
          <t>通信講座</t>
        </is>
      </c>
      <c r="M29" s="9" t="inlineStr">
        <is>
          <t>提携済み</t>
        </is>
      </c>
      <c r="N29" s="5" t="inlineStr">
        <is>
          <t>推定</t>
        </is>
      </c>
    </row>
    <row r="30" ht="34" customHeight="1">
      <c r="A30" s="4">
        <f>RANK(J30,$J$5:$J$104)+COUNTIF($J$5:J30,J30)-1</f>
        <v/>
      </c>
      <c r="B30" s="5" t="inlineStr">
        <is>
          <t>契約書の押印と郵送</t>
        </is>
      </c>
      <c r="C30" s="5" t="inlineStr">
        <is>
          <t>会社員</t>
        </is>
      </c>
      <c r="D30" s="5" t="inlineStr">
        <is>
          <t>印刷・押印・郵送</t>
        </is>
      </c>
      <c r="E30" s="5" t="inlineStr">
        <is>
          <t>電子契約でメール1本で締結</t>
        </is>
      </c>
      <c r="F30" s="5" t="inlineStr">
        <is>
          <t>電子契約サービス</t>
        </is>
      </c>
      <c r="G30" s="6" t="n">
        <v>4</v>
      </c>
      <c r="H30" s="6" t="n">
        <v>5</v>
      </c>
      <c r="I30" s="6" t="n">
        <v>4</v>
      </c>
      <c r="J30" s="7">
        <f>G30*2+H30+I30</f>
        <v/>
      </c>
      <c r="K30" s="7">
        <f>ROUNDUP(A30/3,0)</f>
        <v/>
      </c>
      <c r="L30" s="5" t="inlineStr">
        <is>
          <t>電子契約</t>
        </is>
      </c>
      <c r="M30" s="8" t="inlineStr">
        <is>
          <t>申請候補</t>
        </is>
      </c>
      <c r="N30" s="5" t="inlineStr">
        <is>
          <t>推定</t>
        </is>
      </c>
    </row>
    <row r="31" ht="34" customHeight="1">
      <c r="A31" s="4">
        <f>RANK(J31,$J$5:$J$104)+COUNTIF($J$5:J31,J31)-1</f>
        <v/>
      </c>
      <c r="B31" s="5" t="inlineStr">
        <is>
          <t>給与計算</t>
        </is>
      </c>
      <c r="C31" s="5" t="inlineStr">
        <is>
          <t>経理・事務</t>
        </is>
      </c>
      <c r="D31" s="5" t="inlineStr">
        <is>
          <t>表計算で毎月計算</t>
        </is>
      </c>
      <c r="E31" s="5" t="inlineStr">
        <is>
          <t>給与計算ソフトで勤怠から自動計算</t>
        </is>
      </c>
      <c r="F31" s="5" t="inlineStr">
        <is>
          <t>給与計算ソフト</t>
        </is>
      </c>
      <c r="G31" s="6" t="n">
        <v>4</v>
      </c>
      <c r="H31" s="6" t="n">
        <v>4</v>
      </c>
      <c r="I31" s="6" t="n">
        <v>5</v>
      </c>
      <c r="J31" s="7">
        <f>G31*2+H31+I31</f>
        <v/>
      </c>
      <c r="K31" s="7">
        <f>ROUNDUP(A31/3,0)</f>
        <v/>
      </c>
      <c r="L31" s="5" t="inlineStr">
        <is>
          <t>給与計算ソフト</t>
        </is>
      </c>
      <c r="M31" s="8" t="inlineStr">
        <is>
          <t>申請候補</t>
        </is>
      </c>
      <c r="N31" s="5" t="inlineStr">
        <is>
          <t>調査あり⑤</t>
        </is>
      </c>
    </row>
    <row r="32" ht="34" customHeight="1">
      <c r="A32" s="4">
        <f>RANK(J32,$J$5:$J$104)+COUNTIF($J$5:J32,J32)-1</f>
        <v/>
      </c>
      <c r="B32" s="5" t="inlineStr">
        <is>
          <t>入金の確認（消し込み）</t>
        </is>
      </c>
      <c r="C32" s="5" t="inlineStr">
        <is>
          <t>経理・事務</t>
        </is>
      </c>
      <c r="D32" s="5" t="inlineStr">
        <is>
          <t>通帳と請求書を見比べる</t>
        </is>
      </c>
      <c r="E32" s="5" t="inlineStr">
        <is>
          <t>会計ソフトの自動照合</t>
        </is>
      </c>
      <c r="F32" s="5" t="inlineStr">
        <is>
          <t>会計ソフト</t>
        </is>
      </c>
      <c r="G32" s="6" t="n">
        <v>4</v>
      </c>
      <c r="H32" s="6" t="n">
        <v>4</v>
      </c>
      <c r="I32" s="6" t="n">
        <v>5</v>
      </c>
      <c r="J32" s="7">
        <f>G32*2+H32+I32</f>
        <v/>
      </c>
      <c r="K32" s="7">
        <f>ROUNDUP(A32/3,0)</f>
        <v/>
      </c>
      <c r="L32" s="5" t="inlineStr">
        <is>
          <t>会計ソフト</t>
        </is>
      </c>
      <c r="M32" s="8" t="inlineStr">
        <is>
          <t>申請候補</t>
        </is>
      </c>
      <c r="N32" s="5" t="inlineStr">
        <is>
          <t>推定</t>
        </is>
      </c>
    </row>
    <row r="33" ht="34" customHeight="1">
      <c r="A33" s="4">
        <f>RANK(J33,$J$5:$J$104)+COUNTIF($J$5:J33,J33)-1</f>
        <v/>
      </c>
      <c r="B33" s="5" t="inlineStr">
        <is>
          <t>インボイス・電子帳簿の書類管理</t>
        </is>
      </c>
      <c r="C33" s="5" t="inlineStr">
        <is>
          <t>個人事業主</t>
        </is>
      </c>
      <c r="D33" s="5" t="inlineStr">
        <is>
          <t>紙で保管</t>
        </is>
      </c>
      <c r="E33" s="5" t="inlineStr">
        <is>
          <t>電子帳簿保存に対応した会計ソフトで自動保管</t>
        </is>
      </c>
      <c r="F33" s="5" t="inlineStr">
        <is>
          <t>会計ソフト</t>
        </is>
      </c>
      <c r="G33" s="6" t="n">
        <v>4</v>
      </c>
      <c r="H33" s="6" t="n">
        <v>4</v>
      </c>
      <c r="I33" s="6" t="n">
        <v>5</v>
      </c>
      <c r="J33" s="7">
        <f>G33*2+H33+I33</f>
        <v/>
      </c>
      <c r="K33" s="7">
        <f>ROUNDUP(A33/3,0)</f>
        <v/>
      </c>
      <c r="L33" s="5" t="inlineStr">
        <is>
          <t>会計ソフト</t>
        </is>
      </c>
      <c r="M33" s="8" t="inlineStr">
        <is>
          <t>申請候補</t>
        </is>
      </c>
      <c r="N33" s="5" t="inlineStr">
        <is>
          <t>推定</t>
        </is>
      </c>
    </row>
    <row r="34" ht="34" customHeight="1">
      <c r="A34" s="4">
        <f>RANK(J34,$J$5:$J$104)+COUNTIF($J$5:J34,J34)-1</f>
        <v/>
      </c>
      <c r="B34" s="5" t="inlineStr">
        <is>
          <t>見積書の作成</t>
        </is>
      </c>
      <c r="C34" s="5" t="inlineStr">
        <is>
          <t>個人事業主</t>
        </is>
      </c>
      <c r="D34" s="5" t="inlineStr">
        <is>
          <t>毎回電卓で計算</t>
        </is>
      </c>
      <c r="E34" s="5" t="inlineStr">
        <is>
          <t>数量を入れるだけで金額が出る見積テンプレートを作る</t>
        </is>
      </c>
      <c r="F34" s="5" t="inlineStr">
        <is>
          <t>Excel、見積ソフト</t>
        </is>
      </c>
      <c r="G34" s="6" t="n">
        <v>4</v>
      </c>
      <c r="H34" s="6" t="n">
        <v>5</v>
      </c>
      <c r="I34" s="6" t="n">
        <v>4</v>
      </c>
      <c r="J34" s="7">
        <f>G34*2+H34+I34</f>
        <v/>
      </c>
      <c r="K34" s="7">
        <f>ROUNDUP(A34/3,0)</f>
        <v/>
      </c>
      <c r="L34" s="5" t="inlineStr">
        <is>
          <t>見積・請求書ソフト</t>
        </is>
      </c>
      <c r="M34" s="8" t="inlineStr">
        <is>
          <t>申請候補</t>
        </is>
      </c>
      <c r="N34" s="5" t="inlineStr">
        <is>
          <t>自社の実例</t>
        </is>
      </c>
    </row>
    <row r="35" ht="34" customHeight="1">
      <c r="A35" s="4">
        <f>RANK(J35,$J$5:$J$104)+COUNTIF($J$5:J35,J35)-1</f>
        <v/>
      </c>
      <c r="B35" s="5" t="inlineStr">
        <is>
          <t>ブログ・noteのネタ出しと下書き</t>
        </is>
      </c>
      <c r="C35" s="5" t="inlineStr">
        <is>
          <t>個人事業主</t>
        </is>
      </c>
      <c r="D35" s="5" t="inlineStr">
        <is>
          <t>白紙から書く</t>
        </is>
      </c>
      <c r="E35" s="5" t="inlineStr">
        <is>
          <t>AIにネタ出しと構成を作らせ、自分は経験を足す</t>
        </is>
      </c>
      <c r="F35" s="5" t="inlineStr">
        <is>
          <t>AI</t>
        </is>
      </c>
      <c r="G35" s="6" t="n">
        <v>4</v>
      </c>
      <c r="H35" s="6" t="n">
        <v>5</v>
      </c>
      <c r="I35" s="6" t="n">
        <v>4</v>
      </c>
      <c r="J35" s="7">
        <f>G35*2+H35+I35</f>
        <v/>
      </c>
      <c r="K35" s="7">
        <f>ROUNDUP(A35/3,0)</f>
        <v/>
      </c>
      <c r="L35" s="5" t="inlineStr">
        <is>
          <t>AI講座・サーバー</t>
        </is>
      </c>
      <c r="M35" s="8" t="inlineStr">
        <is>
          <t>申請候補</t>
        </is>
      </c>
      <c r="N35" s="5" t="inlineStr">
        <is>
          <t>調査あり⑨</t>
        </is>
      </c>
    </row>
    <row r="36" ht="34" customHeight="1">
      <c r="A36" s="4">
        <f>RANK(J36,$J$5:$J$104)+COUNTIF($J$5:J36,J36)-1</f>
        <v/>
      </c>
      <c r="B36" s="5" t="inlineStr">
        <is>
          <t>ホームページの作成・更新</t>
        </is>
      </c>
      <c r="C36" s="5" t="inlineStr">
        <is>
          <t>個人事業主</t>
        </is>
      </c>
      <c r="D36" s="5" t="inlineStr">
        <is>
          <t>業者任せで更新できない</t>
        </is>
      </c>
      <c r="E36" s="5" t="inlineStr">
        <is>
          <t>ノーコードの作成ツールとAIで自分で更新</t>
        </is>
      </c>
      <c r="F36" s="5" t="inlineStr">
        <is>
          <t>サイト作成ツール、レンタルサーバー</t>
        </is>
      </c>
      <c r="G36" s="6" t="n">
        <v>4</v>
      </c>
      <c r="H36" s="6" t="n">
        <v>4</v>
      </c>
      <c r="I36" s="6" t="n">
        <v>5</v>
      </c>
      <c r="J36" s="7">
        <f>G36*2+H36+I36</f>
        <v/>
      </c>
      <c r="K36" s="7">
        <f>ROUNDUP(A36/3,0)</f>
        <v/>
      </c>
      <c r="L36" s="5" t="inlineStr">
        <is>
          <t>レンタルサーバー</t>
        </is>
      </c>
      <c r="M36" s="8" t="inlineStr">
        <is>
          <t>申請候補</t>
        </is>
      </c>
      <c r="N36" s="5" t="inlineStr">
        <is>
          <t>調査あり⑩</t>
        </is>
      </c>
    </row>
    <row r="37" ht="34" customHeight="1">
      <c r="A37" s="4">
        <f>RANK(J37,$J$5:$J$104)+COUNTIF($J$5:J37,J37)-1</f>
        <v/>
      </c>
      <c r="B37" s="5" t="inlineStr">
        <is>
          <t>レジ締めと日計表</t>
        </is>
      </c>
      <c r="C37" s="5" t="inlineStr">
        <is>
          <t>飲食店</t>
        </is>
      </c>
      <c r="D37" s="5" t="inlineStr">
        <is>
          <t>閉店後に手で集計</t>
        </is>
      </c>
      <c r="E37" s="5" t="inlineStr">
        <is>
          <t>クラウドレジで売上を自動集計</t>
        </is>
      </c>
      <c r="F37" s="5" t="inlineStr">
        <is>
          <t>クラウドレジ</t>
        </is>
      </c>
      <c r="G37" s="6" t="n">
        <v>4</v>
      </c>
      <c r="H37" s="6" t="n">
        <v>5</v>
      </c>
      <c r="I37" s="6" t="n">
        <v>4</v>
      </c>
      <c r="J37" s="7">
        <f>G37*2+H37+I37</f>
        <v/>
      </c>
      <c r="K37" s="7">
        <f>ROUNDUP(A37/3,0)</f>
        <v/>
      </c>
      <c r="L37" s="5" t="inlineStr">
        <is>
          <t>POSレジ</t>
        </is>
      </c>
      <c r="M37" s="8" t="inlineStr">
        <is>
          <t>申請候補</t>
        </is>
      </c>
      <c r="N37" s="5" t="inlineStr">
        <is>
          <t>自社の実例</t>
        </is>
      </c>
    </row>
    <row r="38" ht="34" customHeight="1">
      <c r="A38" s="4">
        <f>RANK(J38,$J$5:$J$104)+COUNTIF($J$5:J38,J38)-1</f>
        <v/>
      </c>
      <c r="B38" s="5" t="inlineStr">
        <is>
          <t>介護記録の手書きと転記</t>
        </is>
      </c>
      <c r="C38" s="5" t="inlineStr">
        <is>
          <t>介護</t>
        </is>
      </c>
      <c r="D38" s="5" t="inlineStr">
        <is>
          <t>紙に書いてパソコンに転記</t>
        </is>
      </c>
      <c r="E38" s="5" t="inlineStr">
        <is>
          <t>タブレットや音声入力で記録を一度で済ませる</t>
        </is>
      </c>
      <c r="F38" s="5" t="inlineStr">
        <is>
          <t>介護記録ソフト、音声入力</t>
        </is>
      </c>
      <c r="G38" s="6" t="n">
        <v>5</v>
      </c>
      <c r="H38" s="6" t="n">
        <v>4</v>
      </c>
      <c r="I38" s="6" t="n">
        <v>3</v>
      </c>
      <c r="J38" s="7">
        <f>G38*2+H38+I38</f>
        <v/>
      </c>
      <c r="K38" s="7">
        <f>ROUNDUP(A38/3,0)</f>
        <v/>
      </c>
      <c r="L38" s="5" t="inlineStr">
        <is>
          <t>なし</t>
        </is>
      </c>
      <c r="M38" s="5" t="inlineStr">
        <is>
          <t>—</t>
        </is>
      </c>
      <c r="N38" s="5" t="inlineStr">
        <is>
          <t>調査あり⑪</t>
        </is>
      </c>
    </row>
    <row r="39" ht="34" customHeight="1">
      <c r="A39" s="4">
        <f>RANK(J39,$J$5:$J$104)+COUNTIF($J$5:J39,J39)-1</f>
        <v/>
      </c>
      <c r="B39" s="5" t="inlineStr">
        <is>
          <t>運動・健康の記録が続かない</t>
        </is>
      </c>
      <c r="C39" s="5" t="inlineStr">
        <is>
          <t>健康・学び</t>
        </is>
      </c>
      <c r="D39" s="5" t="inlineStr">
        <is>
          <t>アプリに手入力</t>
        </is>
      </c>
      <c r="E39" s="5" t="inlineStr">
        <is>
          <t>スマートウォッチで歩数や睡眠を自動記録</t>
        </is>
      </c>
      <c r="F39" s="5" t="inlineStr">
        <is>
          <t>スマートウォッチ</t>
        </is>
      </c>
      <c r="G39" s="6" t="n">
        <v>4</v>
      </c>
      <c r="H39" s="6" t="n">
        <v>5</v>
      </c>
      <c r="I39" s="6" t="n">
        <v>4</v>
      </c>
      <c r="J39" s="7">
        <f>G39*2+H39+I39</f>
        <v/>
      </c>
      <c r="K39" s="7">
        <f>ROUNDUP(A39/3,0)</f>
        <v/>
      </c>
      <c r="L39" s="5" t="inlineStr">
        <is>
          <t>ウェアラブル（楽天）</t>
        </is>
      </c>
      <c r="M39" s="5" t="inlineStr">
        <is>
          <t>楽天で可</t>
        </is>
      </c>
      <c r="N39" s="5" t="inlineStr">
        <is>
          <t>推定</t>
        </is>
      </c>
    </row>
    <row r="40" ht="34" customHeight="1">
      <c r="A40" s="4">
        <f>RANK(J40,$J$5:$J$104)+COUNTIF($J$5:J40,J40)-1</f>
        <v/>
      </c>
      <c r="B40" s="5" t="inlineStr">
        <is>
          <t>お風呂掃除</t>
        </is>
      </c>
      <c r="C40" s="5" t="inlineStr">
        <is>
          <t>家事</t>
        </is>
      </c>
      <c r="D40" s="5" t="inlineStr">
        <is>
          <t>週に何度も手で磨く</t>
        </is>
      </c>
      <c r="E40" s="5" t="inlineStr">
        <is>
          <t>自動洗浄機能、防カビくん煙剤で掃除の回数そのものを減らす</t>
        </is>
      </c>
      <c r="F40" s="5" t="inlineStr">
        <is>
          <t>防カビ剤、自動洗浄</t>
        </is>
      </c>
      <c r="G40" s="6" t="n">
        <v>5</v>
      </c>
      <c r="H40" s="6" t="n">
        <v>3</v>
      </c>
      <c r="I40" s="6" t="n">
        <v>3</v>
      </c>
      <c r="J40" s="7">
        <f>G40*2+H40+I40</f>
        <v/>
      </c>
      <c r="K40" s="7">
        <f>ROUNDUP(A40/3,0)</f>
        <v/>
      </c>
      <c r="L40" s="5" t="inlineStr">
        <is>
          <t>日用品（楽天）</t>
        </is>
      </c>
      <c r="M40" s="5" t="inlineStr">
        <is>
          <t>楽天で可</t>
        </is>
      </c>
      <c r="N40" s="5" t="inlineStr">
        <is>
          <t>調査あり②</t>
        </is>
      </c>
    </row>
    <row r="41" ht="34" customHeight="1">
      <c r="A41" s="4">
        <f>RANK(J41,$J$5:$J$104)+COUNTIF($J$5:J41,J41)-1</f>
        <v/>
      </c>
      <c r="B41" s="5" t="inlineStr">
        <is>
          <t>スマホの写真が増えて整理できない</t>
        </is>
      </c>
      <c r="C41" s="5" t="inlineStr">
        <is>
          <t>家事</t>
        </is>
      </c>
      <c r="D41" s="5" t="inlineStr">
        <is>
          <t>放置</t>
        </is>
      </c>
      <c r="E41" s="5" t="inlineStr">
        <is>
          <t>写真の自動バックアップと自動アルバム作成を使う</t>
        </is>
      </c>
      <c r="F41" s="5" t="inlineStr">
        <is>
          <t>クラウド写真サービス</t>
        </is>
      </c>
      <c r="G41" s="6" t="n">
        <v>4</v>
      </c>
      <c r="H41" s="6" t="n">
        <v>5</v>
      </c>
      <c r="I41" s="6" t="n">
        <v>3</v>
      </c>
      <c r="J41" s="7">
        <f>G41*2+H41+I41</f>
        <v/>
      </c>
      <c r="K41" s="7">
        <f>ROUNDUP(A41/3,0)</f>
        <v/>
      </c>
      <c r="L41" s="5" t="inlineStr">
        <is>
          <t>ストレージ・フォトブック</t>
        </is>
      </c>
      <c r="M41" s="8" t="inlineStr">
        <is>
          <t>申請候補</t>
        </is>
      </c>
      <c r="N41" s="5" t="inlineStr">
        <is>
          <t>推定</t>
        </is>
      </c>
    </row>
    <row r="42" ht="34" customHeight="1">
      <c r="A42" s="4">
        <f>RANK(J42,$J$5:$J$104)+COUNTIF($J$5:J42,J42)-1</f>
        <v/>
      </c>
      <c r="B42" s="5" t="inlineStr">
        <is>
          <t>離れて暮らす親の見守り</t>
        </is>
      </c>
      <c r="C42" s="5" t="inlineStr">
        <is>
          <t>子育て・家族</t>
        </is>
      </c>
      <c r="D42" s="5" t="inlineStr">
        <is>
          <t>電話で様子を聞く</t>
        </is>
      </c>
      <c r="E42" s="5" t="inlineStr">
        <is>
          <t>見守りセンサーや見守り家電で、異変があれば通知</t>
        </is>
      </c>
      <c r="F42" s="5" t="inlineStr">
        <is>
          <t>見守りサービス・家電</t>
        </is>
      </c>
      <c r="G42" s="6" t="n">
        <v>4</v>
      </c>
      <c r="H42" s="6" t="n">
        <v>4</v>
      </c>
      <c r="I42" s="6" t="n">
        <v>4</v>
      </c>
      <c r="J42" s="7">
        <f>G42*2+H42+I42</f>
        <v/>
      </c>
      <c r="K42" s="7">
        <f>ROUNDUP(A42/3,0)</f>
        <v/>
      </c>
      <c r="L42" s="5" t="inlineStr">
        <is>
          <t>見守りサービス</t>
        </is>
      </c>
      <c r="M42" s="8" t="inlineStr">
        <is>
          <t>申請候補</t>
        </is>
      </c>
      <c r="N42" s="5" t="inlineStr">
        <is>
          <t>推定</t>
        </is>
      </c>
    </row>
    <row r="43" ht="34" customHeight="1">
      <c r="A43" s="4">
        <f>RANK(J43,$J$5:$J$104)+COUNTIF($J$5:J43,J43)-1</f>
        <v/>
      </c>
      <c r="B43" s="5" t="inlineStr">
        <is>
          <t>固定費の見直しが面倒</t>
        </is>
      </c>
      <c r="C43" s="5" t="inlineStr">
        <is>
          <t>お金</t>
        </is>
      </c>
      <c r="D43" s="5" t="inlineStr">
        <is>
          <t>気になりつつ放置</t>
        </is>
      </c>
      <c r="E43" s="5" t="inlineStr">
        <is>
          <t>明細をAIに読ませ、固定費の一覧と見直し候補を出させる</t>
        </is>
      </c>
      <c r="F43" s="5" t="inlineStr">
        <is>
          <t>AI、比較サイト</t>
        </is>
      </c>
      <c r="G43" s="6" t="n">
        <v>4</v>
      </c>
      <c r="H43" s="6" t="n">
        <v>4</v>
      </c>
      <c r="I43" s="6" t="n">
        <v>4</v>
      </c>
      <c r="J43" s="7">
        <f>G43*2+H43+I43</f>
        <v/>
      </c>
      <c r="K43" s="7">
        <f>ROUNDUP(A43/3,0)</f>
        <v/>
      </c>
      <c r="L43" s="5" t="inlineStr">
        <is>
          <t>通信・電気の見直し</t>
        </is>
      </c>
      <c r="M43" s="8" t="inlineStr">
        <is>
          <t>申請候補</t>
        </is>
      </c>
      <c r="N43" s="5" t="inlineStr">
        <is>
          <t>推定</t>
        </is>
      </c>
    </row>
    <row r="44" ht="34" customHeight="1">
      <c r="A44" s="4">
        <f>RANK(J44,$J$5:$J$104)+COUNTIF($J$5:J44,J44)-1</f>
        <v/>
      </c>
      <c r="B44" s="5" t="inlineStr">
        <is>
          <t>サブスクの解約忘れ</t>
        </is>
      </c>
      <c r="C44" s="5" t="inlineStr">
        <is>
          <t>お金</t>
        </is>
      </c>
      <c r="D44" s="5" t="inlineStr">
        <is>
          <t>気づいたら更新</t>
        </is>
      </c>
      <c r="E44" s="5" t="inlineStr">
        <is>
          <t>更新日をカレンダーに登録し、1週間前に自動通知</t>
        </is>
      </c>
      <c r="F44" s="5" t="inlineStr">
        <is>
          <t>カレンダー、サブスク管理アプリ</t>
        </is>
      </c>
      <c r="G44" s="6" t="n">
        <v>4</v>
      </c>
      <c r="H44" s="6" t="n">
        <v>5</v>
      </c>
      <c r="I44" s="6" t="n">
        <v>3</v>
      </c>
      <c r="J44" s="7">
        <f>G44*2+H44+I44</f>
        <v/>
      </c>
      <c r="K44" s="7">
        <f>ROUNDUP(A44/3,0)</f>
        <v/>
      </c>
      <c r="L44" s="5" t="inlineStr">
        <is>
          <t>なし</t>
        </is>
      </c>
      <c r="M44" s="5" t="inlineStr">
        <is>
          <t>—</t>
        </is>
      </c>
      <c r="N44" s="5" t="inlineStr">
        <is>
          <t>推定</t>
        </is>
      </c>
    </row>
    <row r="45" ht="34" customHeight="1">
      <c r="A45" s="4">
        <f>RANK(J45,$J$5:$J$104)+COUNTIF($J$5:J45,J45)-1</f>
        <v/>
      </c>
      <c r="B45" s="5" t="inlineStr">
        <is>
          <t>日報・週報</t>
        </is>
      </c>
      <c r="C45" s="5" t="inlineStr">
        <is>
          <t>会社員</t>
        </is>
      </c>
      <c r="D45" s="5" t="inlineStr">
        <is>
          <t>毎日思い出して書く</t>
        </is>
      </c>
      <c r="E45" s="5" t="inlineStr">
        <is>
          <t>その日の作業メモからAIに日報を作らせる</t>
        </is>
      </c>
      <c r="F45" s="5" t="inlineStr">
        <is>
          <t>AI、メモアプリ</t>
        </is>
      </c>
      <c r="G45" s="6" t="n">
        <v>4</v>
      </c>
      <c r="H45" s="6" t="n">
        <v>5</v>
      </c>
      <c r="I45" s="6" t="n">
        <v>3</v>
      </c>
      <c r="J45" s="7">
        <f>G45*2+H45+I45</f>
        <v/>
      </c>
      <c r="K45" s="7">
        <f>ROUNDUP(A45/3,0)</f>
        <v/>
      </c>
      <c r="L45" s="5" t="inlineStr">
        <is>
          <t>なし</t>
        </is>
      </c>
      <c r="M45" s="5" t="inlineStr">
        <is>
          <t>—</t>
        </is>
      </c>
      <c r="N45" s="5" t="inlineStr">
        <is>
          <t>推定</t>
        </is>
      </c>
    </row>
    <row r="46" ht="34" customHeight="1">
      <c r="A46" s="4">
        <f>RANK(J46,$J$5:$J$104)+COUNTIF($J$5:J46,J46)-1</f>
        <v/>
      </c>
      <c r="B46" s="5" t="inlineStr">
        <is>
          <t>会議の日程調整</t>
        </is>
      </c>
      <c r="C46" s="5" t="inlineStr">
        <is>
          <t>会社員</t>
        </is>
      </c>
      <c r="D46" s="5" t="inlineStr">
        <is>
          <t>メールで何往復も</t>
        </is>
      </c>
      <c r="E46" s="5" t="inlineStr">
        <is>
          <t>空き時間を自動で提示する日程調整ツール</t>
        </is>
      </c>
      <c r="F46" s="5" t="inlineStr">
        <is>
          <t>日程調整ツール</t>
        </is>
      </c>
      <c r="G46" s="6" t="n">
        <v>4</v>
      </c>
      <c r="H46" s="6" t="n">
        <v>5</v>
      </c>
      <c r="I46" s="6" t="n">
        <v>3</v>
      </c>
      <c r="J46" s="7">
        <f>G46*2+H46+I46</f>
        <v/>
      </c>
      <c r="K46" s="7">
        <f>ROUNDUP(A46/3,0)</f>
        <v/>
      </c>
      <c r="L46" s="5" t="inlineStr">
        <is>
          <t>日程調整ツール</t>
        </is>
      </c>
      <c r="M46" s="8" t="inlineStr">
        <is>
          <t>申請候補</t>
        </is>
      </c>
      <c r="N46" s="5" t="inlineStr">
        <is>
          <t>推定</t>
        </is>
      </c>
    </row>
    <row r="47" ht="34" customHeight="1">
      <c r="A47" s="4">
        <f>RANK(J47,$J$5:$J$104)+COUNTIF($J$5:J47,J47)-1</f>
        <v/>
      </c>
      <c r="B47" s="5" t="inlineStr">
        <is>
          <t>毎朝の情報収集</t>
        </is>
      </c>
      <c r="C47" s="5" t="inlineStr">
        <is>
          <t>会社員</t>
        </is>
      </c>
      <c r="D47" s="5" t="inlineStr">
        <is>
          <t>ニュースを見て回る</t>
        </is>
      </c>
      <c r="E47" s="5" t="inlineStr">
        <is>
          <t>AIに毎朝、業界ニュースの要約を届けさせる</t>
        </is>
      </c>
      <c r="F47" s="5" t="inlineStr">
        <is>
          <t>AI、ニュース配信</t>
        </is>
      </c>
      <c r="G47" s="6" t="n">
        <v>4</v>
      </c>
      <c r="H47" s="6" t="n">
        <v>5</v>
      </c>
      <c r="I47" s="6" t="n">
        <v>3</v>
      </c>
      <c r="J47" s="7">
        <f>G47*2+H47+I47</f>
        <v/>
      </c>
      <c r="K47" s="7">
        <f>ROUNDUP(A47/3,0)</f>
        <v/>
      </c>
      <c r="L47" s="5" t="inlineStr">
        <is>
          <t>なし</t>
        </is>
      </c>
      <c r="M47" s="5" t="inlineStr">
        <is>
          <t>—</t>
        </is>
      </c>
      <c r="N47" s="5" t="inlineStr">
        <is>
          <t>調査あり⑨</t>
        </is>
      </c>
    </row>
    <row r="48" ht="34" customHeight="1">
      <c r="A48" s="4">
        <f>RANK(J48,$J$5:$J$104)+COUNTIF($J$5:J48,J48)-1</f>
        <v/>
      </c>
      <c r="B48" s="5" t="inlineStr">
        <is>
          <t>顧客リストの管理</t>
        </is>
      </c>
      <c r="C48" s="5" t="inlineStr">
        <is>
          <t>個人事業主</t>
        </is>
      </c>
      <c r="D48" s="5" t="inlineStr">
        <is>
          <t>Excelや紙でバラバラ</t>
        </is>
      </c>
      <c r="E48" s="5" t="inlineStr">
        <is>
          <t>顧客管理ツールで履歴と次の連絡日を自動管理</t>
        </is>
      </c>
      <c r="F48" s="5" t="inlineStr">
        <is>
          <t>顧客管理ツール</t>
        </is>
      </c>
      <c r="G48" s="6" t="n">
        <v>4</v>
      </c>
      <c r="H48" s="6" t="n">
        <v>4</v>
      </c>
      <c r="I48" s="6" t="n">
        <v>4</v>
      </c>
      <c r="J48" s="7">
        <f>G48*2+H48+I48</f>
        <v/>
      </c>
      <c r="K48" s="7">
        <f>ROUNDUP(A48/3,0)</f>
        <v/>
      </c>
      <c r="L48" s="5" t="inlineStr">
        <is>
          <t>顧客管理</t>
        </is>
      </c>
      <c r="M48" s="8" t="inlineStr">
        <is>
          <t>申請候補</t>
        </is>
      </c>
      <c r="N48" s="5" t="inlineStr">
        <is>
          <t>推定</t>
        </is>
      </c>
    </row>
    <row r="49" ht="34" customHeight="1">
      <c r="A49" s="4">
        <f>RANK(J49,$J$5:$J$104)+COUNTIF($J$5:J49,J49)-1</f>
        <v/>
      </c>
      <c r="B49" s="5" t="inlineStr">
        <is>
          <t>注文取り（人手不足）</t>
        </is>
      </c>
      <c r="C49" s="5" t="inlineStr">
        <is>
          <t>飲食店</t>
        </is>
      </c>
      <c r="D49" s="5" t="inlineStr">
        <is>
          <t>店員が席を回る</t>
        </is>
      </c>
      <c r="E49" s="5" t="inlineStr">
        <is>
          <t>卓上QRのモバイルオーダーでお客さんが自分で注文</t>
        </is>
      </c>
      <c r="F49" s="5" t="inlineStr">
        <is>
          <t>モバイルオーダー</t>
        </is>
      </c>
      <c r="G49" s="6" t="n">
        <v>4</v>
      </c>
      <c r="H49" s="6" t="n">
        <v>4</v>
      </c>
      <c r="I49" s="6" t="n">
        <v>4</v>
      </c>
      <c r="J49" s="7">
        <f>G49*2+H49+I49</f>
        <v/>
      </c>
      <c r="K49" s="7">
        <f>ROUNDUP(A49/3,0)</f>
        <v/>
      </c>
      <c r="L49" s="5" t="inlineStr">
        <is>
          <t>モバイルオーダー</t>
        </is>
      </c>
      <c r="M49" s="8" t="inlineStr">
        <is>
          <t>申請候補</t>
        </is>
      </c>
      <c r="N49" s="5" t="inlineStr">
        <is>
          <t>自社の実例</t>
        </is>
      </c>
    </row>
    <row r="50" ht="34" customHeight="1">
      <c r="A50" s="4">
        <f>RANK(J50,$J$5:$J$104)+COUNTIF($J$5:J50,J50)-1</f>
        <v/>
      </c>
      <c r="B50" s="5" t="inlineStr">
        <is>
          <t>売上と原価の把握</t>
        </is>
      </c>
      <c r="C50" s="5" t="inlineStr">
        <is>
          <t>飲食店</t>
        </is>
      </c>
      <c r="D50" s="5" t="inlineStr">
        <is>
          <t>月末にまとめて計算</t>
        </is>
      </c>
      <c r="E50" s="5" t="inlineStr">
        <is>
          <t>レジと会計ソフトをつないで毎日自動で見える化</t>
        </is>
      </c>
      <c r="F50" s="5" t="inlineStr">
        <is>
          <t>クラウドレジ、会計ソフト</t>
        </is>
      </c>
      <c r="G50" s="6" t="n">
        <v>4</v>
      </c>
      <c r="H50" s="6" t="n">
        <v>4</v>
      </c>
      <c r="I50" s="6" t="n">
        <v>4</v>
      </c>
      <c r="J50" s="7">
        <f>G50*2+H50+I50</f>
        <v/>
      </c>
      <c r="K50" s="7">
        <f>ROUNDUP(A50/3,0)</f>
        <v/>
      </c>
      <c r="L50" s="5" t="inlineStr">
        <is>
          <t>会計ソフト</t>
        </is>
      </c>
      <c r="M50" s="8" t="inlineStr">
        <is>
          <t>申請候補</t>
        </is>
      </c>
      <c r="N50" s="5" t="inlineStr">
        <is>
          <t>調査あり⑦</t>
        </is>
      </c>
    </row>
    <row r="51" ht="34" customHeight="1">
      <c r="A51" s="4">
        <f>RANK(J51,$J$5:$J$104)+COUNTIF($J$5:J51,J51)-1</f>
        <v/>
      </c>
      <c r="B51" s="5" t="inlineStr">
        <is>
          <t>求人と応募者への対応</t>
        </is>
      </c>
      <c r="C51" s="5" t="inlineStr">
        <is>
          <t>飲食店</t>
        </is>
      </c>
      <c r="D51" s="5" t="inlineStr">
        <is>
          <t>電話で日程調整</t>
        </is>
      </c>
      <c r="E51" s="5" t="inlineStr">
        <is>
          <t>応募への自動返信と面接日程の自動調整</t>
        </is>
      </c>
      <c r="F51" s="5" t="inlineStr">
        <is>
          <t>求人媒体、日程調整ツール</t>
        </is>
      </c>
      <c r="G51" s="6" t="n">
        <v>4</v>
      </c>
      <c r="H51" s="6" t="n">
        <v>4</v>
      </c>
      <c r="I51" s="6" t="n">
        <v>4</v>
      </c>
      <c r="J51" s="7">
        <f>G51*2+H51+I51</f>
        <v/>
      </c>
      <c r="K51" s="7">
        <f>ROUNDUP(A51/3,0)</f>
        <v/>
      </c>
      <c r="L51" s="5" t="inlineStr">
        <is>
          <t>求人サービス</t>
        </is>
      </c>
      <c r="M51" s="8" t="inlineStr">
        <is>
          <t>申請候補</t>
        </is>
      </c>
      <c r="N51" s="5" t="inlineStr">
        <is>
          <t>推定</t>
        </is>
      </c>
    </row>
    <row r="52" ht="34" customHeight="1">
      <c r="A52" s="4">
        <f>RANK(J52,$J$5:$J$104)+COUNTIF($J$5:J52,J52)-1</f>
        <v/>
      </c>
      <c r="B52" s="5" t="inlineStr">
        <is>
          <t>無断キャンセル</t>
        </is>
      </c>
      <c r="C52" s="5" t="inlineStr">
        <is>
          <t>美容室・サロン</t>
        </is>
      </c>
      <c r="D52" s="5" t="inlineStr">
        <is>
          <t>前日に電話で確認</t>
        </is>
      </c>
      <c r="E52" s="5" t="inlineStr">
        <is>
          <t>前日の自動リマインドと事前決済</t>
        </is>
      </c>
      <c r="F52" s="5" t="inlineStr">
        <is>
          <t>LINE公式アカウント、予約システム</t>
        </is>
      </c>
      <c r="G52" s="6" t="n">
        <v>4</v>
      </c>
      <c r="H52" s="6" t="n">
        <v>5</v>
      </c>
      <c r="I52" s="6" t="n">
        <v>3</v>
      </c>
      <c r="J52" s="7">
        <f>G52*2+H52+I52</f>
        <v/>
      </c>
      <c r="K52" s="7">
        <f>ROUNDUP(A52/3,0)</f>
        <v/>
      </c>
      <c r="L52" s="5" t="inlineStr">
        <is>
          <t>予約システム</t>
        </is>
      </c>
      <c r="M52" s="8" t="inlineStr">
        <is>
          <t>申請候補</t>
        </is>
      </c>
      <c r="N52" s="5" t="inlineStr">
        <is>
          <t>推定</t>
        </is>
      </c>
    </row>
    <row r="53" ht="34" customHeight="1">
      <c r="A53" s="4">
        <f>RANK(J53,$J$5:$J$104)+COUNTIF($J$5:J53,J53)-1</f>
        <v/>
      </c>
      <c r="B53" s="5" t="inlineStr">
        <is>
          <t>再来店の声かけ</t>
        </is>
      </c>
      <c r="C53" s="5" t="inlineStr">
        <is>
          <t>美容室・サロン</t>
        </is>
      </c>
      <c r="D53" s="5" t="inlineStr">
        <is>
          <t>思い出したら連絡</t>
        </is>
      </c>
      <c r="E53" s="5" t="inlineStr">
        <is>
          <t>前回来店から決まった日数で自動メッセージ</t>
        </is>
      </c>
      <c r="F53" s="5" t="inlineStr">
        <is>
          <t>LINE公式アカウント</t>
        </is>
      </c>
      <c r="G53" s="6" t="n">
        <v>4</v>
      </c>
      <c r="H53" s="6" t="n">
        <v>5</v>
      </c>
      <c r="I53" s="6" t="n">
        <v>3</v>
      </c>
      <c r="J53" s="7">
        <f>G53*2+H53+I53</f>
        <v/>
      </c>
      <c r="K53" s="7">
        <f>ROUNDUP(A53/3,0)</f>
        <v/>
      </c>
      <c r="L53" s="5" t="inlineStr">
        <is>
          <t>なし</t>
        </is>
      </c>
      <c r="M53" s="5" t="inlineStr">
        <is>
          <t>—</t>
        </is>
      </c>
      <c r="N53" s="5" t="inlineStr">
        <is>
          <t>推定</t>
        </is>
      </c>
    </row>
    <row r="54" ht="34" customHeight="1">
      <c r="A54" s="4">
        <f>RANK(J54,$J$5:$J$104)+COUNTIF($J$5:J54,J54)-1</f>
        <v/>
      </c>
      <c r="B54" s="5" t="inlineStr">
        <is>
          <t>在庫管理</t>
        </is>
      </c>
      <c r="C54" s="5" t="inlineStr">
        <is>
          <t>小売・ネットショップ</t>
        </is>
      </c>
      <c r="D54" s="5" t="inlineStr">
        <is>
          <t>目で数えて表に記入</t>
        </is>
      </c>
      <c r="E54" s="5" t="inlineStr">
        <is>
          <t>バーコードと在庫アプリで自動で増減</t>
        </is>
      </c>
      <c r="F54" s="5" t="inlineStr">
        <is>
          <t>在庫管理アプリ</t>
        </is>
      </c>
      <c r="G54" s="6" t="n">
        <v>4</v>
      </c>
      <c r="H54" s="6" t="n">
        <v>4</v>
      </c>
      <c r="I54" s="6" t="n">
        <v>4</v>
      </c>
      <c r="J54" s="7">
        <f>G54*2+H54+I54</f>
        <v/>
      </c>
      <c r="K54" s="7">
        <f>ROUNDUP(A54/3,0)</f>
        <v/>
      </c>
      <c r="L54" s="5" t="inlineStr">
        <is>
          <t>在庫管理</t>
        </is>
      </c>
      <c r="M54" s="8" t="inlineStr">
        <is>
          <t>申請候補</t>
        </is>
      </c>
      <c r="N54" s="5" t="inlineStr">
        <is>
          <t>調査あり⑧</t>
        </is>
      </c>
    </row>
    <row r="55" ht="34" customHeight="1">
      <c r="A55" s="4">
        <f>RANK(J55,$J$5:$J$104)+COUNTIF($J$5:J55,J55)-1</f>
        <v/>
      </c>
      <c r="B55" s="5" t="inlineStr">
        <is>
          <t>受注と発送の処理</t>
        </is>
      </c>
      <c r="C55" s="5" t="inlineStr">
        <is>
          <t>小売・ネットショップ</t>
        </is>
      </c>
      <c r="D55" s="5" t="inlineStr">
        <is>
          <t>注文ごとに手で送り状</t>
        </is>
      </c>
      <c r="E55" s="5" t="inlineStr">
        <is>
          <t>受注管理から送り状発行まで自動化</t>
        </is>
      </c>
      <c r="F55" s="5" t="inlineStr">
        <is>
          <t>受注管理ツール</t>
        </is>
      </c>
      <c r="G55" s="6" t="n">
        <v>4</v>
      </c>
      <c r="H55" s="6" t="n">
        <v>4</v>
      </c>
      <c r="I55" s="6" t="n">
        <v>4</v>
      </c>
      <c r="J55" s="7">
        <f>G55*2+H55+I55</f>
        <v/>
      </c>
      <c r="K55" s="7">
        <f>ROUNDUP(A55/3,0)</f>
        <v/>
      </c>
      <c r="L55" s="5" t="inlineStr">
        <is>
          <t>ネットショップ作成</t>
        </is>
      </c>
      <c r="M55" s="8" t="inlineStr">
        <is>
          <t>申請候補</t>
        </is>
      </c>
      <c r="N55" s="5" t="inlineStr">
        <is>
          <t>推定</t>
        </is>
      </c>
    </row>
    <row r="56" ht="34" customHeight="1">
      <c r="A56" s="4">
        <f>RANK(J56,$J$5:$J$104)+COUNTIF($J$5:J56,J56)-1</f>
        <v/>
      </c>
      <c r="B56" s="5" t="inlineStr">
        <is>
          <t>商品説明文の作成</t>
        </is>
      </c>
      <c r="C56" s="5" t="inlineStr">
        <is>
          <t>小売・ネットショップ</t>
        </is>
      </c>
      <c r="D56" s="5" t="inlineStr">
        <is>
          <t>1つずつ考える</t>
        </is>
      </c>
      <c r="E56" s="5" t="inlineStr">
        <is>
          <t>商品の特徴を渡してAIに説明文を作らせる</t>
        </is>
      </c>
      <c r="F56" s="5" t="inlineStr">
        <is>
          <t>AI</t>
        </is>
      </c>
      <c r="G56" s="6" t="n">
        <v>4</v>
      </c>
      <c r="H56" s="6" t="n">
        <v>5</v>
      </c>
      <c r="I56" s="6" t="n">
        <v>3</v>
      </c>
      <c r="J56" s="7">
        <f>G56*2+H56+I56</f>
        <v/>
      </c>
      <c r="K56" s="7">
        <f>ROUNDUP(A56/3,0)</f>
        <v/>
      </c>
      <c r="L56" s="5" t="inlineStr">
        <is>
          <t>ネットショップ作成</t>
        </is>
      </c>
      <c r="M56" s="8" t="inlineStr">
        <is>
          <t>申請候補</t>
        </is>
      </c>
      <c r="N56" s="5" t="inlineStr">
        <is>
          <t>推定</t>
        </is>
      </c>
    </row>
    <row r="57" ht="34" customHeight="1">
      <c r="A57" s="4">
        <f>RANK(J57,$J$5:$J$104)+COUNTIF($J$5:J57,J57)-1</f>
        <v/>
      </c>
      <c r="B57" s="5" t="inlineStr">
        <is>
          <t>入居者からの問い合わせ電話</t>
        </is>
      </c>
      <c r="C57" s="5" t="inlineStr">
        <is>
          <t>不動産・管理</t>
        </is>
      </c>
      <c r="D57" s="5" t="inlineStr">
        <is>
          <t>電話で聞き取りメモ</t>
        </is>
      </c>
      <c r="E57" s="5" t="inlineStr">
        <is>
          <t>QRの受付フォームと電話の自動応答で記録まで自動</t>
        </is>
      </c>
      <c r="F57" s="5" t="inlineStr">
        <is>
          <t>受付フォーム、電話自動応答</t>
        </is>
      </c>
      <c r="G57" s="6" t="n">
        <v>4</v>
      </c>
      <c r="H57" s="6" t="n">
        <v>5</v>
      </c>
      <c r="I57" s="6" t="n">
        <v>3</v>
      </c>
      <c r="J57" s="7">
        <f>G57*2+H57+I57</f>
        <v/>
      </c>
      <c r="K57" s="7">
        <f>ROUNDUP(A57/3,0)</f>
        <v/>
      </c>
      <c r="L57" s="5" t="inlineStr">
        <is>
          <t>電話自動応答</t>
        </is>
      </c>
      <c r="M57" s="8" t="inlineStr">
        <is>
          <t>申請候補</t>
        </is>
      </c>
      <c r="N57" s="5" t="inlineStr">
        <is>
          <t>自社の実例</t>
        </is>
      </c>
    </row>
    <row r="58" ht="34" customHeight="1">
      <c r="A58" s="4">
        <f>RANK(J58,$J$5:$J$104)+COUNTIF($J$5:J58,J58)-1</f>
        <v/>
      </c>
      <c r="B58" s="5" t="inlineStr">
        <is>
          <t>見積の数量計算と作り直し</t>
        </is>
      </c>
      <c r="C58" s="5" t="inlineStr">
        <is>
          <t>建設・リフォーム</t>
        </is>
      </c>
      <c r="D58" s="5" t="inlineStr">
        <is>
          <t>電卓で何度も計算</t>
        </is>
      </c>
      <c r="E58" s="5" t="inlineStr">
        <is>
          <t>数量を入れると複数プランの見積が同時に完成</t>
        </is>
      </c>
      <c r="F58" s="5" t="inlineStr">
        <is>
          <t>見積システム</t>
        </is>
      </c>
      <c r="G58" s="6" t="n">
        <v>4</v>
      </c>
      <c r="H58" s="6" t="n">
        <v>5</v>
      </c>
      <c r="I58" s="6" t="n">
        <v>3</v>
      </c>
      <c r="J58" s="7">
        <f>G58*2+H58+I58</f>
        <v/>
      </c>
      <c r="K58" s="7">
        <f>ROUNDUP(A58/3,0)</f>
        <v/>
      </c>
      <c r="L58" s="5" t="inlineStr">
        <is>
          <t>なし</t>
        </is>
      </c>
      <c r="M58" s="5" t="inlineStr">
        <is>
          <t>—</t>
        </is>
      </c>
      <c r="N58" s="5" t="inlineStr">
        <is>
          <t>自社の実例</t>
        </is>
      </c>
    </row>
    <row r="59" ht="34" customHeight="1">
      <c r="A59" s="4">
        <f>RANK(J59,$J$5:$J$104)+COUNTIF($J$5:J59,J59)-1</f>
        <v/>
      </c>
      <c r="B59" s="5" t="inlineStr">
        <is>
          <t>受付と予約電話</t>
        </is>
      </c>
      <c r="C59" s="5" t="inlineStr">
        <is>
          <t>医療・クリニック</t>
        </is>
      </c>
      <c r="D59" s="5" t="inlineStr">
        <is>
          <t>受付が電話に追われる</t>
        </is>
      </c>
      <c r="E59" s="5" t="inlineStr">
        <is>
          <t>ネット予約と順番待ち、電話の自動応答</t>
        </is>
      </c>
      <c r="F59" s="5" t="inlineStr">
        <is>
          <t>予約システム、電話自動応答</t>
        </is>
      </c>
      <c r="G59" s="6" t="n">
        <v>4</v>
      </c>
      <c r="H59" s="6" t="n">
        <v>5</v>
      </c>
      <c r="I59" s="6" t="n">
        <v>3</v>
      </c>
      <c r="J59" s="7">
        <f>G59*2+H59+I59</f>
        <v/>
      </c>
      <c r="K59" s="7">
        <f>ROUNDUP(A59/3,0)</f>
        <v/>
      </c>
      <c r="L59" s="5" t="inlineStr">
        <is>
          <t>予約システム</t>
        </is>
      </c>
      <c r="M59" s="8" t="inlineStr">
        <is>
          <t>申請候補</t>
        </is>
      </c>
      <c r="N59" s="5" t="inlineStr">
        <is>
          <t>推定</t>
        </is>
      </c>
    </row>
    <row r="60" ht="34" customHeight="1">
      <c r="A60" s="4">
        <f>RANK(J60,$J$5:$J$104)+COUNTIF($J$5:J60,J60)-1</f>
        <v/>
      </c>
      <c r="B60" s="5" t="inlineStr">
        <is>
          <t>問診票</t>
        </is>
      </c>
      <c r="C60" s="5" t="inlineStr">
        <is>
          <t>医療・クリニック</t>
        </is>
      </c>
      <c r="D60" s="5" t="inlineStr">
        <is>
          <t>紙に書いてもらい入力</t>
        </is>
      </c>
      <c r="E60" s="5" t="inlineStr">
        <is>
          <t>来院前にスマホでWeb問診</t>
        </is>
      </c>
      <c r="F60" s="5" t="inlineStr">
        <is>
          <t>Web問診</t>
        </is>
      </c>
      <c r="G60" s="6" t="n">
        <v>4</v>
      </c>
      <c r="H60" s="6" t="n">
        <v>5</v>
      </c>
      <c r="I60" s="6" t="n">
        <v>3</v>
      </c>
      <c r="J60" s="7">
        <f>G60*2+H60+I60</f>
        <v/>
      </c>
      <c r="K60" s="7">
        <f>ROUNDUP(A60/3,0)</f>
        <v/>
      </c>
      <c r="L60" s="5" t="inlineStr">
        <is>
          <t>なし</t>
        </is>
      </c>
      <c r="M60" s="5" t="inlineStr">
        <is>
          <t>—</t>
        </is>
      </c>
      <c r="N60" s="5" t="inlineStr">
        <is>
          <t>推定</t>
        </is>
      </c>
    </row>
    <row r="61" ht="34" customHeight="1">
      <c r="A61" s="4">
        <f>RANK(J61,$J$5:$J$104)+COUNTIF($J$5:J61,J61)-1</f>
        <v/>
      </c>
      <c r="B61" s="5" t="inlineStr">
        <is>
          <t>ゴミ出しの日を忘れる</t>
        </is>
      </c>
      <c r="C61" s="5" t="inlineStr">
        <is>
          <t>家事</t>
        </is>
      </c>
      <c r="D61" s="5" t="inlineStr">
        <is>
          <t>カレンダーを見て思い出す</t>
        </is>
      </c>
      <c r="E61" s="5" t="inlineStr">
        <is>
          <t>自治体のゴミ分別アプリやスマートスピーカーで毎週前日に通知</t>
        </is>
      </c>
      <c r="F61" s="5" t="inlineStr">
        <is>
          <t>ゴミ分別アプリ、スマートスピーカー</t>
        </is>
      </c>
      <c r="G61" s="6" t="n">
        <v>4</v>
      </c>
      <c r="H61" s="6" t="n">
        <v>5</v>
      </c>
      <c r="I61" s="6" t="n">
        <v>2</v>
      </c>
      <c r="J61" s="7">
        <f>G61*2+H61+I61</f>
        <v/>
      </c>
      <c r="K61" s="7">
        <f>ROUNDUP(A61/3,0)</f>
        <v/>
      </c>
      <c r="L61" s="5" t="inlineStr">
        <is>
          <t>スマート家電（楽天）</t>
        </is>
      </c>
      <c r="M61" s="5" t="inlineStr">
        <is>
          <t>楽天で可</t>
        </is>
      </c>
      <c r="N61" s="5" t="inlineStr">
        <is>
          <t>推定</t>
        </is>
      </c>
    </row>
    <row r="62" ht="34" customHeight="1">
      <c r="A62" s="4">
        <f>RANK(J62,$J$5:$J$104)+COUNTIF($J$5:J62,J62)-1</f>
        <v/>
      </c>
      <c r="B62" s="5" t="inlineStr">
        <is>
          <t>布団の手入れ・丸洗い</t>
        </is>
      </c>
      <c r="C62" s="5" t="inlineStr">
        <is>
          <t>家事</t>
        </is>
      </c>
      <c r="D62" s="5" t="inlineStr">
        <is>
          <t>干すか、持ち込みクリーニング</t>
        </is>
      </c>
      <c r="E62" s="5" t="inlineStr">
        <is>
          <t>布団の宅配クリーニングで集荷から保管まで任せる</t>
        </is>
      </c>
      <c r="F62" s="5" t="inlineStr">
        <is>
          <t>宅配クリーニング</t>
        </is>
      </c>
      <c r="G62" s="6" t="n">
        <v>3</v>
      </c>
      <c r="H62" s="6" t="n">
        <v>4</v>
      </c>
      <c r="I62" s="6" t="n">
        <v>5</v>
      </c>
      <c r="J62" s="7">
        <f>G62*2+H62+I62</f>
        <v/>
      </c>
      <c r="K62" s="7">
        <f>ROUNDUP(A62/3,0)</f>
        <v/>
      </c>
      <c r="L62" s="5" t="inlineStr">
        <is>
          <t>宅配クリーニング</t>
        </is>
      </c>
      <c r="M62" s="9" t="inlineStr">
        <is>
          <t>提携済み</t>
        </is>
      </c>
      <c r="N62" s="5" t="inlineStr">
        <is>
          <t>推定</t>
        </is>
      </c>
    </row>
    <row r="63" ht="34" customHeight="1">
      <c r="A63" s="4">
        <f>RANK(J63,$J$5:$J$104)+COUNTIF($J$5:J63,J63)-1</f>
        <v/>
      </c>
      <c r="B63" s="5" t="inlineStr">
        <is>
          <t>衣替えと季節物の保管</t>
        </is>
      </c>
      <c r="C63" s="5" t="inlineStr">
        <is>
          <t>家事</t>
        </is>
      </c>
      <c r="D63" s="5" t="inlineStr">
        <is>
          <t>押し入れに詰める</t>
        </is>
      </c>
      <c r="E63" s="5" t="inlineStr">
        <is>
          <t>保管付きの宅配クリーニングで次の季節まで預ける</t>
        </is>
      </c>
      <c r="F63" s="5" t="inlineStr">
        <is>
          <t>保管付き宅配クリーニング</t>
        </is>
      </c>
      <c r="G63" s="6" t="n">
        <v>3</v>
      </c>
      <c r="H63" s="6" t="n">
        <v>4</v>
      </c>
      <c r="I63" s="6" t="n">
        <v>5</v>
      </c>
      <c r="J63" s="7">
        <f>G63*2+H63+I63</f>
        <v/>
      </c>
      <c r="K63" s="7">
        <f>ROUNDUP(A63/3,0)</f>
        <v/>
      </c>
      <c r="L63" s="5" t="inlineStr">
        <is>
          <t>宅配クリーニング</t>
        </is>
      </c>
      <c r="M63" s="9" t="inlineStr">
        <is>
          <t>提携済み</t>
        </is>
      </c>
      <c r="N63" s="5" t="inlineStr">
        <is>
          <t>推定</t>
        </is>
      </c>
    </row>
    <row r="64" ht="34" customHeight="1">
      <c r="A64" s="4">
        <f>RANK(J64,$J$5:$J$104)+COUNTIF($J$5:J64,J64)-1</f>
        <v/>
      </c>
      <c r="B64" s="5" t="inlineStr">
        <is>
          <t>家族の予定がバラバラ</t>
        </is>
      </c>
      <c r="C64" s="5" t="inlineStr">
        <is>
          <t>子育て・家族</t>
        </is>
      </c>
      <c r="D64" s="5" t="inlineStr">
        <is>
          <t>口頭やメモで伝える</t>
        </is>
      </c>
      <c r="E64" s="5" t="inlineStr">
        <is>
          <t>家族共有カレンダーで予定を共有し、前日に自動通知</t>
        </is>
      </c>
      <c r="F64" s="5" t="inlineStr">
        <is>
          <t>共有カレンダー</t>
        </is>
      </c>
      <c r="G64" s="6" t="n">
        <v>4</v>
      </c>
      <c r="H64" s="6" t="n">
        <v>5</v>
      </c>
      <c r="I64" s="6" t="n">
        <v>2</v>
      </c>
      <c r="J64" s="7">
        <f>G64*2+H64+I64</f>
        <v/>
      </c>
      <c r="K64" s="7">
        <f>ROUNDUP(A64/3,0)</f>
        <v/>
      </c>
      <c r="L64" s="5" t="inlineStr">
        <is>
          <t>なし</t>
        </is>
      </c>
      <c r="M64" s="5" t="inlineStr">
        <is>
          <t>—</t>
        </is>
      </c>
      <c r="N64" s="5" t="inlineStr">
        <is>
          <t>推定</t>
        </is>
      </c>
    </row>
    <row r="65" ht="34" customHeight="1">
      <c r="A65" s="4">
        <f>RANK(J65,$J$5:$J$104)+COUNTIF($J$5:J65,J65)-1</f>
        <v/>
      </c>
      <c r="B65" s="5" t="inlineStr">
        <is>
          <t>支払いや振込を忘れる</t>
        </is>
      </c>
      <c r="C65" s="5" t="inlineStr">
        <is>
          <t>お金</t>
        </is>
      </c>
      <c r="D65" s="5" t="inlineStr">
        <is>
          <t>毎月手で振り込む</t>
        </is>
      </c>
      <c r="E65" s="5" t="inlineStr">
        <is>
          <t>口座振替やカード払いに切り替え、支払日を自動通知</t>
        </is>
      </c>
      <c r="F65" s="5" t="inlineStr">
        <is>
          <t>口座振替、カード払い</t>
        </is>
      </c>
      <c r="G65" s="6" t="n">
        <v>4</v>
      </c>
      <c r="H65" s="6" t="n">
        <v>5</v>
      </c>
      <c r="I65" s="6" t="n">
        <v>2</v>
      </c>
      <c r="J65" s="7">
        <f>G65*2+H65+I65</f>
        <v/>
      </c>
      <c r="K65" s="7">
        <f>ROUNDUP(A65/3,0)</f>
        <v/>
      </c>
      <c r="L65" s="5" t="inlineStr">
        <is>
          <t>なし</t>
        </is>
      </c>
      <c r="M65" s="5" t="inlineStr">
        <is>
          <t>—</t>
        </is>
      </c>
      <c r="N65" s="5" t="inlineStr">
        <is>
          <t>推定</t>
        </is>
      </c>
    </row>
    <row r="66" ht="34" customHeight="1">
      <c r="A66" s="4">
        <f>RANK(J66,$J$5:$J$104)+COUNTIF($J$5:J66,J66)-1</f>
        <v/>
      </c>
      <c r="B66" s="5" t="inlineStr">
        <is>
          <t>先取り貯金が続かない</t>
        </is>
      </c>
      <c r="C66" s="5" t="inlineStr">
        <is>
          <t>お金</t>
        </is>
      </c>
      <c r="D66" s="5" t="inlineStr">
        <is>
          <t>余ったら貯める</t>
        </is>
      </c>
      <c r="E66" s="5" t="inlineStr">
        <is>
          <t>給料日に自動で別口座へ移す設定にする</t>
        </is>
      </c>
      <c r="F66" s="5" t="inlineStr">
        <is>
          <t>銀行の自動振替</t>
        </is>
      </c>
      <c r="G66" s="6" t="n">
        <v>4</v>
      </c>
      <c r="H66" s="6" t="n">
        <v>5</v>
      </c>
      <c r="I66" s="6" t="n">
        <v>2</v>
      </c>
      <c r="J66" s="7">
        <f>G66*2+H66+I66</f>
        <v/>
      </c>
      <c r="K66" s="7">
        <f>ROUNDUP(A66/3,0)</f>
        <v/>
      </c>
      <c r="L66" s="5" t="inlineStr">
        <is>
          <t>なし</t>
        </is>
      </c>
      <c r="M66" s="5" t="inlineStr">
        <is>
          <t>—</t>
        </is>
      </c>
      <c r="N66" s="5" t="inlineStr">
        <is>
          <t>推定</t>
        </is>
      </c>
    </row>
    <row r="67" ht="34" customHeight="1">
      <c r="A67" s="4">
        <f>RANK(J67,$J$5:$J$104)+COUNTIF($J$5:J67,J67)-1</f>
        <v/>
      </c>
      <c r="B67" s="5" t="inlineStr">
        <is>
          <t>医療費控除の集計</t>
        </is>
      </c>
      <c r="C67" s="5" t="inlineStr">
        <is>
          <t>お金</t>
        </is>
      </c>
      <c r="D67" s="5" t="inlineStr">
        <is>
          <t>領収書を1年分集計</t>
        </is>
      </c>
      <c r="E67" s="5" t="inlineStr">
        <is>
          <t>マイナポータル連携で医療費を自動で申告書に取り込む</t>
        </is>
      </c>
      <c r="F67" s="5" t="inlineStr">
        <is>
          <t>マイナポータル、e-Tax</t>
        </is>
      </c>
      <c r="G67" s="6" t="n">
        <v>4</v>
      </c>
      <c r="H67" s="6" t="n">
        <v>4</v>
      </c>
      <c r="I67" s="6" t="n">
        <v>3</v>
      </c>
      <c r="J67" s="7">
        <f>G67*2+H67+I67</f>
        <v/>
      </c>
      <c r="K67" s="7">
        <f>ROUNDUP(A67/3,0)</f>
        <v/>
      </c>
      <c r="L67" s="5" t="inlineStr">
        <is>
          <t>会計ソフト</t>
        </is>
      </c>
      <c r="M67" s="8" t="inlineStr">
        <is>
          <t>申請候補</t>
        </is>
      </c>
      <c r="N67" s="5" t="inlineStr">
        <is>
          <t>推定</t>
        </is>
      </c>
    </row>
    <row r="68" ht="34" customHeight="1">
      <c r="A68" s="4">
        <f>RANK(J68,$J$5:$J$104)+COUNTIF($J$5:J68,J68)-1</f>
        <v/>
      </c>
      <c r="B68" s="5" t="inlineStr">
        <is>
          <t>社内からの同じ質問への対応</t>
        </is>
      </c>
      <c r="C68" s="5" t="inlineStr">
        <is>
          <t>会社員</t>
        </is>
      </c>
      <c r="D68" s="5" t="inlineStr">
        <is>
          <t>毎回口頭で答える</t>
        </is>
      </c>
      <c r="E68" s="5" t="inlineStr">
        <is>
          <t>社内のよくある質問をAIチャットに覚えさせる</t>
        </is>
      </c>
      <c r="F68" s="5" t="inlineStr">
        <is>
          <t>AIチャット</t>
        </is>
      </c>
      <c r="G68" s="6" t="n">
        <v>4</v>
      </c>
      <c r="H68" s="6" t="n">
        <v>4</v>
      </c>
      <c r="I68" s="6" t="n">
        <v>3</v>
      </c>
      <c r="J68" s="7">
        <f>G68*2+H68+I68</f>
        <v/>
      </c>
      <c r="K68" s="7">
        <f>ROUNDUP(A68/3,0)</f>
        <v/>
      </c>
      <c r="L68" s="5" t="inlineStr">
        <is>
          <t>なし</t>
        </is>
      </c>
      <c r="M68" s="5" t="inlineStr">
        <is>
          <t>—</t>
        </is>
      </c>
      <c r="N68" s="5" t="inlineStr">
        <is>
          <t>推定</t>
        </is>
      </c>
    </row>
    <row r="69" ht="34" customHeight="1">
      <c r="A69" s="4">
        <f>RANK(J69,$J$5:$J$104)+COUNTIF($J$5:J69,J69)-1</f>
        <v/>
      </c>
      <c r="B69" s="5" t="inlineStr">
        <is>
          <t>問い合わせへの返信</t>
        </is>
      </c>
      <c r="C69" s="5" t="inlineStr">
        <is>
          <t>個人事業主</t>
        </is>
      </c>
      <c r="D69" s="5" t="inlineStr">
        <is>
          <t>一件ずつ返信</t>
        </is>
      </c>
      <c r="E69" s="5" t="inlineStr">
        <is>
          <t>よくある質問は自動返信、残りはAIで下書き</t>
        </is>
      </c>
      <c r="F69" s="5" t="inlineStr">
        <is>
          <t>LINE公式アカウント、AI</t>
        </is>
      </c>
      <c r="G69" s="6" t="n">
        <v>4</v>
      </c>
      <c r="H69" s="6" t="n">
        <v>4</v>
      </c>
      <c r="I69" s="6" t="n">
        <v>3</v>
      </c>
      <c r="J69" s="7">
        <f>G69*2+H69+I69</f>
        <v/>
      </c>
      <c r="K69" s="7">
        <f>ROUNDUP(A69/3,0)</f>
        <v/>
      </c>
      <c r="L69" s="5" t="inlineStr">
        <is>
          <t>なし</t>
        </is>
      </c>
      <c r="M69" s="5" t="inlineStr">
        <is>
          <t>—</t>
        </is>
      </c>
      <c r="N69" s="5" t="inlineStr">
        <is>
          <t>推定</t>
        </is>
      </c>
    </row>
    <row r="70" ht="34" customHeight="1">
      <c r="A70" s="4">
        <f>RANK(J70,$J$5:$J$104)+COUNTIF($J$5:J70,J70)-1</f>
        <v/>
      </c>
      <c r="B70" s="5" t="inlineStr">
        <is>
          <t>施術記録・カルテ</t>
        </is>
      </c>
      <c r="C70" s="5" t="inlineStr">
        <is>
          <t>美容室・サロン</t>
        </is>
      </c>
      <c r="D70" s="5" t="inlineStr">
        <is>
          <t>紙のカルテ</t>
        </is>
      </c>
      <c r="E70" s="5" t="inlineStr">
        <is>
          <t>写真付きの電子カルテで顧客ごとに自動整理</t>
        </is>
      </c>
      <c r="F70" s="5" t="inlineStr">
        <is>
          <t>電子カルテアプリ</t>
        </is>
      </c>
      <c r="G70" s="6" t="n">
        <v>4</v>
      </c>
      <c r="H70" s="6" t="n">
        <v>4</v>
      </c>
      <c r="I70" s="6" t="n">
        <v>3</v>
      </c>
      <c r="J70" s="7">
        <f>G70*2+H70+I70</f>
        <v/>
      </c>
      <c r="K70" s="7">
        <f>ROUNDUP(A70/3,0)</f>
        <v/>
      </c>
      <c r="L70" s="5" t="inlineStr">
        <is>
          <t>なし</t>
        </is>
      </c>
      <c r="M70" s="5" t="inlineStr">
        <is>
          <t>—</t>
        </is>
      </c>
      <c r="N70" s="5" t="inlineStr">
        <is>
          <t>推定</t>
        </is>
      </c>
    </row>
    <row r="71" ht="34" customHeight="1">
      <c r="A71" s="4">
        <f>RANK(J71,$J$5:$J$104)+COUNTIF($J$5:J71,J71)-1</f>
        <v/>
      </c>
      <c r="B71" s="5" t="inlineStr">
        <is>
          <t>物件の点検と報告書</t>
        </is>
      </c>
      <c r="C71" s="5" t="inlineStr">
        <is>
          <t>不動産・管理</t>
        </is>
      </c>
      <c r="D71" s="5" t="inlineStr">
        <is>
          <t>紙に書いて清書</t>
        </is>
      </c>
      <c r="E71" s="5" t="inlineStr">
        <is>
          <t>スマホで点検し、報告書PDFを自動発行</t>
        </is>
      </c>
      <c r="F71" s="5" t="inlineStr">
        <is>
          <t>点検アプリ</t>
        </is>
      </c>
      <c r="G71" s="6" t="n">
        <v>4</v>
      </c>
      <c r="H71" s="6" t="n">
        <v>4</v>
      </c>
      <c r="I71" s="6" t="n">
        <v>3</v>
      </c>
      <c r="J71" s="7">
        <f>G71*2+H71+I71</f>
        <v/>
      </c>
      <c r="K71" s="7">
        <f>ROUNDUP(A71/3,0)</f>
        <v/>
      </c>
      <c r="L71" s="5" t="inlineStr">
        <is>
          <t>なし</t>
        </is>
      </c>
      <c r="M71" s="5" t="inlineStr">
        <is>
          <t>—</t>
        </is>
      </c>
      <c r="N71" s="5" t="inlineStr">
        <is>
          <t>自社の実例</t>
        </is>
      </c>
    </row>
    <row r="72" ht="34" customHeight="1">
      <c r="A72" s="4">
        <f>RANK(J72,$J$5:$J$104)+COUNTIF($J$5:J72,J72)-1</f>
        <v/>
      </c>
      <c r="B72" s="5" t="inlineStr">
        <is>
          <t>現場写真の整理と写真台帳</t>
        </is>
      </c>
      <c r="C72" s="5" t="inlineStr">
        <is>
          <t>建設・リフォーム</t>
        </is>
      </c>
      <c r="D72" s="5" t="inlineStr">
        <is>
          <t>撮った写真を後で仕分け</t>
        </is>
      </c>
      <c r="E72" s="5" t="inlineStr">
        <is>
          <t>撮影時に部位を選ぶだけで自動で台帳に並ぶ</t>
        </is>
      </c>
      <c r="F72" s="5" t="inlineStr">
        <is>
          <t>現場管理アプリ</t>
        </is>
      </c>
      <c r="G72" s="6" t="n">
        <v>4</v>
      </c>
      <c r="H72" s="6" t="n">
        <v>4</v>
      </c>
      <c r="I72" s="6" t="n">
        <v>3</v>
      </c>
      <c r="J72" s="7">
        <f>G72*2+H72+I72</f>
        <v/>
      </c>
      <c r="K72" s="7">
        <f>ROUNDUP(A72/3,0)</f>
        <v/>
      </c>
      <c r="L72" s="5" t="inlineStr">
        <is>
          <t>なし</t>
        </is>
      </c>
      <c r="M72" s="5" t="inlineStr">
        <is>
          <t>—</t>
        </is>
      </c>
      <c r="N72" s="5" t="inlineStr">
        <is>
          <t>自社の実例</t>
        </is>
      </c>
    </row>
    <row r="73" ht="34" customHeight="1">
      <c r="A73" s="4">
        <f>RANK(J73,$J$5:$J$104)+COUNTIF($J$5:J73,J73)-1</f>
        <v/>
      </c>
      <c r="B73" s="5" t="inlineStr">
        <is>
          <t>点検カルテ・診断書の作成</t>
        </is>
      </c>
      <c r="C73" s="5" t="inlineStr">
        <is>
          <t>建設・リフォーム</t>
        </is>
      </c>
      <c r="D73" s="5" t="inlineStr">
        <is>
          <t>手書きを清書</t>
        </is>
      </c>
      <c r="E73" s="5" t="inlineStr">
        <is>
          <t>スマホ入力からカルテを自動作成</t>
        </is>
      </c>
      <c r="F73" s="5" t="inlineStr">
        <is>
          <t>業務システム</t>
        </is>
      </c>
      <c r="G73" s="6" t="n">
        <v>4</v>
      </c>
      <c r="H73" s="6" t="n">
        <v>4</v>
      </c>
      <c r="I73" s="6" t="n">
        <v>3</v>
      </c>
      <c r="J73" s="7">
        <f>G73*2+H73+I73</f>
        <v/>
      </c>
      <c r="K73" s="7">
        <f>ROUNDUP(A73/3,0)</f>
        <v/>
      </c>
      <c r="L73" s="5" t="inlineStr">
        <is>
          <t>なし</t>
        </is>
      </c>
      <c r="M73" s="5" t="inlineStr">
        <is>
          <t>—</t>
        </is>
      </c>
      <c r="N73" s="5" t="inlineStr">
        <is>
          <t>自社の実例</t>
        </is>
      </c>
    </row>
    <row r="74" ht="34" customHeight="1">
      <c r="A74" s="4">
        <f>RANK(J74,$J$5:$J$104)+COUNTIF($J$5:J74,J74)-1</f>
        <v/>
      </c>
      <c r="B74" s="5" t="inlineStr">
        <is>
          <t>保護者への連絡・お便り</t>
        </is>
      </c>
      <c r="C74" s="5" t="inlineStr">
        <is>
          <t>教育</t>
        </is>
      </c>
      <c r="D74" s="5" t="inlineStr">
        <is>
          <t>紙を配る</t>
        </is>
      </c>
      <c r="E74" s="5" t="inlineStr">
        <is>
          <t>連絡配信アプリで一斉配信と既読確認</t>
        </is>
      </c>
      <c r="F74" s="5" t="inlineStr">
        <is>
          <t>連絡配信アプリ</t>
        </is>
      </c>
      <c r="G74" s="6" t="n">
        <v>4</v>
      </c>
      <c r="H74" s="6" t="n">
        <v>5</v>
      </c>
      <c r="I74" s="6" t="n">
        <v>2</v>
      </c>
      <c r="J74" s="7">
        <f>G74*2+H74+I74</f>
        <v/>
      </c>
      <c r="K74" s="7">
        <f>ROUNDUP(A74/3,0)</f>
        <v/>
      </c>
      <c r="L74" s="5" t="inlineStr">
        <is>
          <t>なし</t>
        </is>
      </c>
      <c r="M74" s="5" t="inlineStr">
        <is>
          <t>—</t>
        </is>
      </c>
      <c r="N74" s="5" t="inlineStr">
        <is>
          <t>調査あり⑫</t>
        </is>
      </c>
    </row>
    <row r="75" ht="34" customHeight="1">
      <c r="A75" s="4">
        <f>RANK(J75,$J$5:$J$104)+COUNTIF($J$5:J75,J75)-1</f>
        <v/>
      </c>
      <c r="B75" s="5" t="inlineStr">
        <is>
          <t>毎朝の服選び</t>
        </is>
      </c>
      <c r="C75" s="5" t="inlineStr">
        <is>
          <t>健康・学び</t>
        </is>
      </c>
      <c r="D75" s="5" t="inlineStr">
        <is>
          <t>毎朝悩む</t>
        </is>
      </c>
      <c r="E75" s="5" t="inlineStr">
        <is>
          <t>ファッションレンタルでコーデごと届けてもらう</t>
        </is>
      </c>
      <c r="F75" s="5" t="inlineStr">
        <is>
          <t>ファッションレンタル</t>
        </is>
      </c>
      <c r="G75" s="6" t="n">
        <v>3</v>
      </c>
      <c r="H75" s="6" t="n">
        <v>5</v>
      </c>
      <c r="I75" s="6" t="n">
        <v>4</v>
      </c>
      <c r="J75" s="7">
        <f>G75*2+H75+I75</f>
        <v/>
      </c>
      <c r="K75" s="7">
        <f>ROUNDUP(A75/3,0)</f>
        <v/>
      </c>
      <c r="L75" s="5" t="inlineStr">
        <is>
          <t>ファッションレンタル</t>
        </is>
      </c>
      <c r="M75" s="9" t="inlineStr">
        <is>
          <t>提携済み</t>
        </is>
      </c>
      <c r="N75" s="5" t="inlineStr">
        <is>
          <t>推定</t>
        </is>
      </c>
    </row>
    <row r="76" ht="34" customHeight="1">
      <c r="A76" s="4">
        <f>RANK(J76,$J$5:$J$104)+COUNTIF($J$5:J76,J76)-1</f>
        <v/>
      </c>
      <c r="B76" s="5" t="inlineStr">
        <is>
          <t>観たい番組・動画を探す</t>
        </is>
      </c>
      <c r="C76" s="5" t="inlineStr">
        <is>
          <t>健康・学び</t>
        </is>
      </c>
      <c r="D76" s="5" t="inlineStr">
        <is>
          <t>番組表を自分で探す</t>
        </is>
      </c>
      <c r="E76" s="5" t="inlineStr">
        <is>
          <t>キーワード自動録画や動画配信のおすすめを使う</t>
        </is>
      </c>
      <c r="F76" s="5" t="inlineStr">
        <is>
          <t>自動録画、動画配信</t>
        </is>
      </c>
      <c r="G76" s="6" t="n">
        <v>3</v>
      </c>
      <c r="H76" s="6" t="n">
        <v>5</v>
      </c>
      <c r="I76" s="6" t="n">
        <v>4</v>
      </c>
      <c r="J76" s="7">
        <f>G76*2+H76+I76</f>
        <v/>
      </c>
      <c r="K76" s="7">
        <f>ROUNDUP(A76/3,0)</f>
        <v/>
      </c>
      <c r="L76" s="5" t="inlineStr">
        <is>
          <t>動画配信（VOD）</t>
        </is>
      </c>
      <c r="M76" s="5" t="inlineStr">
        <is>
          <t>要確認</t>
        </is>
      </c>
      <c r="N76" s="5" t="inlineStr">
        <is>
          <t>調査あり⑨</t>
        </is>
      </c>
    </row>
    <row r="77" ht="34" customHeight="1">
      <c r="A77" s="4">
        <f>RANK(J77,$J$5:$J$104)+COUNTIF($J$5:J77,J77)-1</f>
        <v/>
      </c>
      <c r="B77" s="5" t="inlineStr">
        <is>
          <t>インスタ用の画像と告知文</t>
        </is>
      </c>
      <c r="C77" s="5" t="inlineStr">
        <is>
          <t>SNS・発信</t>
        </is>
      </c>
      <c r="D77" s="5" t="inlineStr">
        <is>
          <t>毎回作る</t>
        </is>
      </c>
      <c r="E77" s="5" t="inlineStr">
        <is>
          <t>記事からAIで画像と告知文を自動作成</t>
        </is>
      </c>
      <c r="F77" s="5" t="inlineStr">
        <is>
          <t>AI、デザインツール</t>
        </is>
      </c>
      <c r="G77" s="6" t="n">
        <v>4</v>
      </c>
      <c r="H77" s="6" t="n">
        <v>4</v>
      </c>
      <c r="I77" s="6" t="n">
        <v>3</v>
      </c>
      <c r="J77" s="7">
        <f>G77*2+H77+I77</f>
        <v/>
      </c>
      <c r="K77" s="7">
        <f>ROUNDUP(A77/3,0)</f>
        <v/>
      </c>
      <c r="L77" s="5" t="inlineStr">
        <is>
          <t>デザインツール</t>
        </is>
      </c>
      <c r="M77" s="8" t="inlineStr">
        <is>
          <t>申請候補</t>
        </is>
      </c>
      <c r="N77" s="5" t="inlineStr">
        <is>
          <t>調査あり⑨</t>
        </is>
      </c>
    </row>
    <row r="78" ht="34" customHeight="1">
      <c r="A78" s="4">
        <f>RANK(J78,$J$5:$J$104)+COUNTIF($J$5:J78,J78)-1</f>
        <v/>
      </c>
      <c r="B78" s="5" t="inlineStr">
        <is>
          <t>エアコン・家電の操作や消し忘れ</t>
        </is>
      </c>
      <c r="C78" s="5" t="inlineStr">
        <is>
          <t>家事</t>
        </is>
      </c>
      <c r="D78" s="5" t="inlineStr">
        <is>
          <t>帰ってから操作</t>
        </is>
      </c>
      <c r="E78" s="5" t="inlineStr">
        <is>
          <t>スマートリモコンで帰宅前に自動で冷暖房、外から消し忘れ確認</t>
        </is>
      </c>
      <c r="F78" s="5" t="inlineStr">
        <is>
          <t>スマートリモコン</t>
        </is>
      </c>
      <c r="G78" s="6" t="n">
        <v>3</v>
      </c>
      <c r="H78" s="6" t="n">
        <v>5</v>
      </c>
      <c r="I78" s="6" t="n">
        <v>3</v>
      </c>
      <c r="J78" s="7">
        <f>G78*2+H78+I78</f>
        <v/>
      </c>
      <c r="K78" s="7">
        <f>ROUNDUP(A78/3,0)</f>
        <v/>
      </c>
      <c r="L78" s="5" t="inlineStr">
        <is>
          <t>スマート家電（楽天）</t>
        </is>
      </c>
      <c r="M78" s="5" t="inlineStr">
        <is>
          <t>楽天で可</t>
        </is>
      </c>
      <c r="N78" s="5" t="inlineStr">
        <is>
          <t>推定</t>
        </is>
      </c>
    </row>
    <row r="79" ht="34" customHeight="1">
      <c r="A79" s="4">
        <f>RANK(J79,$J$5:$J$104)+COUNTIF($J$5:J79,J79)-1</f>
        <v/>
      </c>
      <c r="B79" s="5" t="inlineStr">
        <is>
          <t>鍵の閉め忘れが不安</t>
        </is>
      </c>
      <c r="C79" s="5" t="inlineStr">
        <is>
          <t>家事</t>
        </is>
      </c>
      <c r="D79" s="5" t="inlineStr">
        <is>
          <t>戻って確認する</t>
        </is>
      </c>
      <c r="E79" s="5" t="inlineStr">
        <is>
          <t>スマートロックで自動施錠、スマホで確認</t>
        </is>
      </c>
      <c r="F79" s="5" t="inlineStr">
        <is>
          <t>スマートロック</t>
        </is>
      </c>
      <c r="G79" s="6" t="n">
        <v>3</v>
      </c>
      <c r="H79" s="6" t="n">
        <v>5</v>
      </c>
      <c r="I79" s="6" t="n">
        <v>3</v>
      </c>
      <c r="J79" s="7">
        <f>G79*2+H79+I79</f>
        <v/>
      </c>
      <c r="K79" s="7">
        <f>ROUNDUP(A79/3,0)</f>
        <v/>
      </c>
      <c r="L79" s="5" t="inlineStr">
        <is>
          <t>スマート家電（楽天）</t>
        </is>
      </c>
      <c r="M79" s="5" t="inlineStr">
        <is>
          <t>楽天で可</t>
        </is>
      </c>
      <c r="N79" s="5" t="inlineStr">
        <is>
          <t>推定</t>
        </is>
      </c>
    </row>
    <row r="80" ht="34" customHeight="1">
      <c r="A80" s="4">
        <f>RANK(J80,$J$5:$J$104)+COUNTIF($J$5:J80,J80)-1</f>
        <v/>
      </c>
      <c r="B80" s="5" t="inlineStr">
        <is>
          <t>留守中のペットの食事</t>
        </is>
      </c>
      <c r="C80" s="5" t="inlineStr">
        <is>
          <t>家事</t>
        </is>
      </c>
      <c r="D80" s="5" t="inlineStr">
        <is>
          <t>出かける前に用意</t>
        </is>
      </c>
      <c r="E80" s="5" t="inlineStr">
        <is>
          <t>自動給餌器と見守りカメラ</t>
        </is>
      </c>
      <c r="F80" s="5" t="inlineStr">
        <is>
          <t>自動給餌器</t>
        </is>
      </c>
      <c r="G80" s="6" t="n">
        <v>3</v>
      </c>
      <c r="H80" s="6" t="n">
        <v>5</v>
      </c>
      <c r="I80" s="6" t="n">
        <v>3</v>
      </c>
      <c r="J80" s="7">
        <f>G80*2+H80+I80</f>
        <v/>
      </c>
      <c r="K80" s="7">
        <f>ROUNDUP(A80/3,0)</f>
        <v/>
      </c>
      <c r="L80" s="5" t="inlineStr">
        <is>
          <t>ペット用品（楽天）</t>
        </is>
      </c>
      <c r="M80" s="5" t="inlineStr">
        <is>
          <t>楽天で可</t>
        </is>
      </c>
      <c r="N80" s="5" t="inlineStr">
        <is>
          <t>推定</t>
        </is>
      </c>
    </row>
    <row r="81" ht="34" customHeight="1">
      <c r="A81" s="4">
        <f>RANK(J81,$J$5:$J$104)+COUNTIF($J$5:J81,J81)-1</f>
        <v/>
      </c>
      <c r="B81" s="5" t="inlineStr">
        <is>
          <t>学校・保育園のプリント管理</t>
        </is>
      </c>
      <c r="C81" s="5" t="inlineStr">
        <is>
          <t>子育て・家族</t>
        </is>
      </c>
      <c r="D81" s="5" t="inlineStr">
        <is>
          <t>冷蔵庫に貼って忘れる</t>
        </is>
      </c>
      <c r="E81" s="5" t="inlineStr">
        <is>
          <t>プリントを撮影し、AIに日付と持ち物を抜き出させてカレンダーに登録</t>
        </is>
      </c>
      <c r="F81" s="5" t="inlineStr">
        <is>
          <t>AI、共有カレンダー</t>
        </is>
      </c>
      <c r="G81" s="6" t="n">
        <v>4</v>
      </c>
      <c r="H81" s="6" t="n">
        <v>4</v>
      </c>
      <c r="I81" s="6" t="n">
        <v>2</v>
      </c>
      <c r="J81" s="7">
        <f>G81*2+H81+I81</f>
        <v/>
      </c>
      <c r="K81" s="7">
        <f>ROUNDUP(A81/3,0)</f>
        <v/>
      </c>
      <c r="L81" s="5" t="inlineStr">
        <is>
          <t>なし</t>
        </is>
      </c>
      <c r="M81" s="5" t="inlineStr">
        <is>
          <t>—</t>
        </is>
      </c>
      <c r="N81" s="5" t="inlineStr">
        <is>
          <t>推定</t>
        </is>
      </c>
    </row>
    <row r="82" ht="34" customHeight="1">
      <c r="A82" s="4">
        <f>RANK(J82,$J$5:$J$104)+COUNTIF($J$5:J82,J82)-1</f>
        <v/>
      </c>
      <c r="B82" s="5" t="inlineStr">
        <is>
          <t>名刺の整理</t>
        </is>
      </c>
      <c r="C82" s="5" t="inlineStr">
        <is>
          <t>会社員</t>
        </is>
      </c>
      <c r="D82" s="5" t="inlineStr">
        <is>
          <t>名刺フォルダに溜まる</t>
        </is>
      </c>
      <c r="E82" s="5" t="inlineStr">
        <is>
          <t>撮影するだけで名刺管理アプリに登録</t>
        </is>
      </c>
      <c r="F82" s="5" t="inlineStr">
        <is>
          <t>名刺管理アプリ</t>
        </is>
      </c>
      <c r="G82" s="6" t="n">
        <v>3</v>
      </c>
      <c r="H82" s="6" t="n">
        <v>5</v>
      </c>
      <c r="I82" s="6" t="n">
        <v>3</v>
      </c>
      <c r="J82" s="7">
        <f>G82*2+H82+I82</f>
        <v/>
      </c>
      <c r="K82" s="7">
        <f>ROUNDUP(A82/3,0)</f>
        <v/>
      </c>
      <c r="L82" s="5" t="inlineStr">
        <is>
          <t>名刺管理</t>
        </is>
      </c>
      <c r="M82" s="8" t="inlineStr">
        <is>
          <t>申請候補</t>
        </is>
      </c>
      <c r="N82" s="5" t="inlineStr">
        <is>
          <t>推定</t>
        </is>
      </c>
    </row>
    <row r="83" ht="34" customHeight="1">
      <c r="A83" s="4">
        <f>RANK(J83,$J$5:$J$104)+COUNTIF($J$5:J83,J83)-1</f>
        <v/>
      </c>
      <c r="B83" s="5" t="inlineStr">
        <is>
          <t>ファイル・データの整理</t>
        </is>
      </c>
      <c r="C83" s="5" t="inlineStr">
        <is>
          <t>会社員</t>
        </is>
      </c>
      <c r="D83" s="5" t="inlineStr">
        <is>
          <t>手で名前を付けて移動</t>
        </is>
      </c>
      <c r="E83" s="5" t="inlineStr">
        <is>
          <t>決まりに沿って自動で振り分け・命名</t>
        </is>
      </c>
      <c r="F83" s="5" t="inlineStr">
        <is>
          <t>AI、クラウドストレージ</t>
        </is>
      </c>
      <c r="G83" s="6" t="n">
        <v>4</v>
      </c>
      <c r="H83" s="6" t="n">
        <v>4</v>
      </c>
      <c r="I83" s="6" t="n">
        <v>2</v>
      </c>
      <c r="J83" s="7">
        <f>G83*2+H83+I83</f>
        <v/>
      </c>
      <c r="K83" s="7">
        <f>ROUNDUP(A83/3,0)</f>
        <v/>
      </c>
      <c r="L83" s="5" t="inlineStr">
        <is>
          <t>なし</t>
        </is>
      </c>
      <c r="M83" s="5" t="inlineStr">
        <is>
          <t>—</t>
        </is>
      </c>
      <c r="N83" s="5" t="inlineStr">
        <is>
          <t>調査あり⑨</t>
        </is>
      </c>
    </row>
    <row r="84" ht="34" customHeight="1">
      <c r="A84" s="4">
        <f>RANK(J84,$J$5:$J$104)+COUNTIF($J$5:J84,J84)-1</f>
        <v/>
      </c>
      <c r="B84" s="5" t="inlineStr">
        <is>
          <t>仕入れ・発注</t>
        </is>
      </c>
      <c r="C84" s="5" t="inlineStr">
        <is>
          <t>飲食店</t>
        </is>
      </c>
      <c r="D84" s="5" t="inlineStr">
        <is>
          <t>在庫を見て勘で発注</t>
        </is>
      </c>
      <c r="E84" s="5" t="inlineStr">
        <is>
          <t>在庫と売れ行きから発注量を自動計算</t>
        </is>
      </c>
      <c r="F84" s="5" t="inlineStr">
        <is>
          <t>在庫管理・発注システム</t>
        </is>
      </c>
      <c r="G84" s="6" t="n">
        <v>4</v>
      </c>
      <c r="H84" s="6" t="n">
        <v>3</v>
      </c>
      <c r="I84" s="6" t="n">
        <v>3</v>
      </c>
      <c r="J84" s="7">
        <f>G84*2+H84+I84</f>
        <v/>
      </c>
      <c r="K84" s="7">
        <f>ROUNDUP(A84/3,0)</f>
        <v/>
      </c>
      <c r="L84" s="5" t="inlineStr">
        <is>
          <t>なし</t>
        </is>
      </c>
      <c r="M84" s="5" t="inlineStr">
        <is>
          <t>—</t>
        </is>
      </c>
      <c r="N84" s="5" t="inlineStr">
        <is>
          <t>推定</t>
        </is>
      </c>
    </row>
    <row r="85" ht="34" customHeight="1">
      <c r="A85" s="4">
        <f>RANK(J85,$J$5:$J$104)+COUNTIF($J$5:J85,J85)-1</f>
        <v/>
      </c>
      <c r="B85" s="5" t="inlineStr">
        <is>
          <t>ケアマネの書類作成</t>
        </is>
      </c>
      <c r="C85" s="5" t="inlineStr">
        <is>
          <t>介護</t>
        </is>
      </c>
      <c r="D85" s="5" t="inlineStr">
        <is>
          <t>1件ずつ手で作成</t>
        </is>
      </c>
      <c r="E85" s="5" t="inlineStr">
        <is>
          <t>AIで下書きを作り、確認と修正だけにする</t>
        </is>
      </c>
      <c r="F85" s="5" t="inlineStr">
        <is>
          <t>AI、ケアプランソフト</t>
        </is>
      </c>
      <c r="G85" s="6" t="n">
        <v>4</v>
      </c>
      <c r="H85" s="6" t="n">
        <v>4</v>
      </c>
      <c r="I85" s="6" t="n">
        <v>2</v>
      </c>
      <c r="J85" s="7">
        <f>G85*2+H85+I85</f>
        <v/>
      </c>
      <c r="K85" s="7">
        <f>ROUNDUP(A85/3,0)</f>
        <v/>
      </c>
      <c r="L85" s="5" t="inlineStr">
        <is>
          <t>なし</t>
        </is>
      </c>
      <c r="M85" s="5" t="inlineStr">
        <is>
          <t>—</t>
        </is>
      </c>
      <c r="N85" s="5" t="inlineStr">
        <is>
          <t>調査あり⑨</t>
        </is>
      </c>
    </row>
    <row r="86" ht="34" customHeight="1">
      <c r="A86" s="4">
        <f>RANK(J86,$J$5:$J$104)+COUNTIF($J$5:J86,J86)-1</f>
        <v/>
      </c>
      <c r="B86" s="5" t="inlineStr">
        <is>
          <t>テストの採点と成績処理</t>
        </is>
      </c>
      <c r="C86" s="5" t="inlineStr">
        <is>
          <t>教育</t>
        </is>
      </c>
      <c r="D86" s="5" t="inlineStr">
        <is>
          <t>1枚ずつ手で丸付け</t>
        </is>
      </c>
      <c r="E86" s="5" t="inlineStr">
        <is>
          <t>スキャン採点と自動集計</t>
        </is>
      </c>
      <c r="F86" s="5" t="inlineStr">
        <is>
          <t>採点支援ツール</t>
        </is>
      </c>
      <c r="G86" s="6" t="n">
        <v>4</v>
      </c>
      <c r="H86" s="6" t="n">
        <v>4</v>
      </c>
      <c r="I86" s="6" t="n">
        <v>2</v>
      </c>
      <c r="J86" s="7">
        <f>G86*2+H86+I86</f>
        <v/>
      </c>
      <c r="K86" s="7">
        <f>ROUNDUP(A86/3,0)</f>
        <v/>
      </c>
      <c r="L86" s="5" t="inlineStr">
        <is>
          <t>なし</t>
        </is>
      </c>
      <c r="M86" s="5" t="inlineStr">
        <is>
          <t>—</t>
        </is>
      </c>
      <c r="N86" s="5" t="inlineStr">
        <is>
          <t>調査あり⑫</t>
        </is>
      </c>
    </row>
    <row r="87" ht="34" customHeight="1">
      <c r="A87" s="4">
        <f>RANK(J87,$J$5:$J$104)+COUNTIF($J$5:J87,J87)-1</f>
        <v/>
      </c>
      <c r="B87" s="5" t="inlineStr">
        <is>
          <t>報告書・事務書類</t>
        </is>
      </c>
      <c r="C87" s="5" t="inlineStr">
        <is>
          <t>教育</t>
        </is>
      </c>
      <c r="D87" s="5" t="inlineStr">
        <is>
          <t>手で作成</t>
        </is>
      </c>
      <c r="E87" s="5" t="inlineStr">
        <is>
          <t>定型の書類はテンプレートとAIで下書き</t>
        </is>
      </c>
      <c r="F87" s="5" t="inlineStr">
        <is>
          <t>AI</t>
        </is>
      </c>
      <c r="G87" s="6" t="n">
        <v>4</v>
      </c>
      <c r="H87" s="6" t="n">
        <v>4</v>
      </c>
      <c r="I87" s="6" t="n">
        <v>2</v>
      </c>
      <c r="J87" s="7">
        <f>G87*2+H87+I87</f>
        <v/>
      </c>
      <c r="K87" s="7">
        <f>ROUNDUP(A87/3,0)</f>
        <v/>
      </c>
      <c r="L87" s="5" t="inlineStr">
        <is>
          <t>なし</t>
        </is>
      </c>
      <c r="M87" s="5" t="inlineStr">
        <is>
          <t>—</t>
        </is>
      </c>
      <c r="N87" s="5" t="inlineStr">
        <is>
          <t>調査あり⑫</t>
        </is>
      </c>
    </row>
    <row r="88" ht="34" customHeight="1">
      <c r="A88" s="4">
        <f>RANK(J88,$J$5:$J$104)+COUNTIF($J$5:J88,J88)-1</f>
        <v/>
      </c>
      <c r="B88" s="5" t="inlineStr">
        <is>
          <t>記念品・名入れギフトの準備</t>
        </is>
      </c>
      <c r="C88" s="5" t="inlineStr">
        <is>
          <t>SNS・発信</t>
        </is>
      </c>
      <c r="D88" s="5" t="inlineStr">
        <is>
          <t>業者に頼んで何度もやりとり</t>
        </is>
      </c>
      <c r="E88" s="5" t="inlineStr">
        <is>
          <t>デザインエディタで名前と写真を入れるだけで仕上がる仕組みを持つ</t>
        </is>
      </c>
      <c r="F88" s="5" t="inlineStr">
        <is>
          <t>オリシャン開業パッケージ（自社）</t>
        </is>
      </c>
      <c r="G88" s="6" t="n">
        <v>3</v>
      </c>
      <c r="H88" s="6" t="n">
        <v>4</v>
      </c>
      <c r="I88" s="6" t="n">
        <v>4</v>
      </c>
      <c r="J88" s="7">
        <f>G88*2+H88+I88</f>
        <v/>
      </c>
      <c r="K88" s="7">
        <f>ROUNDUP(A88/3,0)</f>
        <v/>
      </c>
      <c r="L88" s="5" t="inlineStr">
        <is>
          <t>自社商品（オリシャン）</t>
        </is>
      </c>
      <c r="M88" s="5" t="inlineStr">
        <is>
          <t>自社</t>
        </is>
      </c>
      <c r="N88" s="5" t="inlineStr">
        <is>
          <t>自社の実例</t>
        </is>
      </c>
    </row>
    <row r="89" ht="34" customHeight="1">
      <c r="A89" s="4">
        <f>RANK(J89,$J$5:$J$104)+COUNTIF($J$5:J89,J89)-1</f>
        <v/>
      </c>
      <c r="B89" s="5" t="inlineStr">
        <is>
          <t>排水口の髪の毛・ゴミ取り</t>
        </is>
      </c>
      <c r="C89" s="5" t="inlineStr">
        <is>
          <t>家事</t>
        </is>
      </c>
      <c r="D89" s="5" t="inlineStr">
        <is>
          <t>汚れてから手で取る</t>
        </is>
      </c>
      <c r="E89" s="5" t="inlineStr">
        <is>
          <t>使い捨てネットと抗菌ゴミ受けを定期便で自動補充</t>
        </is>
      </c>
      <c r="F89" s="5" t="inlineStr">
        <is>
          <t>日用品の定期便</t>
        </is>
      </c>
      <c r="G89" s="6" t="n">
        <v>4</v>
      </c>
      <c r="H89" s="6" t="n">
        <v>3</v>
      </c>
      <c r="I89" s="6" t="n">
        <v>2</v>
      </c>
      <c r="J89" s="7">
        <f>G89*2+H89+I89</f>
        <v/>
      </c>
      <c r="K89" s="7">
        <f>ROUNDUP(A89/3,0)</f>
        <v/>
      </c>
      <c r="L89" s="5" t="inlineStr">
        <is>
          <t>日用品（楽天）</t>
        </is>
      </c>
      <c r="M89" s="5" t="inlineStr">
        <is>
          <t>楽天で可</t>
        </is>
      </c>
      <c r="N89" s="5" t="inlineStr">
        <is>
          <t>調査あり①</t>
        </is>
      </c>
    </row>
    <row r="90" ht="34" customHeight="1">
      <c r="A90" s="4">
        <f>RANK(J90,$J$5:$J$104)+COUNTIF($J$5:J90,J90)-1</f>
        <v/>
      </c>
      <c r="B90" s="5" t="inlineStr">
        <is>
          <t>引っ越しの手続き・住所変更</t>
        </is>
      </c>
      <c r="C90" s="5" t="inlineStr">
        <is>
          <t>家事</t>
        </is>
      </c>
      <c r="D90" s="5" t="inlineStr">
        <is>
          <t>役所や各社に1件ずつ連絡</t>
        </is>
      </c>
      <c r="E90" s="5" t="inlineStr">
        <is>
          <t>引っ越しの一括見積と、住所変更をまとめて行えるサービスを使う</t>
        </is>
      </c>
      <c r="F90" s="5" t="inlineStr">
        <is>
          <t>引っ越し一括見積、住所変更サービス</t>
        </is>
      </c>
      <c r="G90" s="6" t="n">
        <v>3</v>
      </c>
      <c r="H90" s="6" t="n">
        <v>3</v>
      </c>
      <c r="I90" s="6" t="n">
        <v>4</v>
      </c>
      <c r="J90" s="7">
        <f>G90*2+H90+I90</f>
        <v/>
      </c>
      <c r="K90" s="7">
        <f>ROUNDUP(A90/3,0)</f>
        <v/>
      </c>
      <c r="L90" s="5" t="inlineStr">
        <is>
          <t>引っ越し一括見積</t>
        </is>
      </c>
      <c r="M90" s="8" t="inlineStr">
        <is>
          <t>申請候補</t>
        </is>
      </c>
      <c r="N90" s="5" t="inlineStr">
        <is>
          <t>推定</t>
        </is>
      </c>
    </row>
    <row r="91" ht="34" customHeight="1">
      <c r="A91" s="4">
        <f>RANK(J91,$J$5:$J$104)+COUNTIF($J$5:J91,J91)-1</f>
        <v/>
      </c>
      <c r="B91" s="5" t="inlineStr">
        <is>
          <t>ポイントの期限切れ</t>
        </is>
      </c>
      <c r="C91" s="5" t="inlineStr">
        <is>
          <t>お金</t>
        </is>
      </c>
      <c r="D91" s="5" t="inlineStr">
        <is>
          <t>気づいたら失効</t>
        </is>
      </c>
      <c r="E91" s="5" t="inlineStr">
        <is>
          <t>支払いを1つのポイントにまとめ、期限前に通知</t>
        </is>
      </c>
      <c r="F91" s="5" t="inlineStr">
        <is>
          <t>ポイントアプリ</t>
        </is>
      </c>
      <c r="G91" s="6" t="n">
        <v>3</v>
      </c>
      <c r="H91" s="6" t="n">
        <v>4</v>
      </c>
      <c r="I91" s="6" t="n">
        <v>3</v>
      </c>
      <c r="J91" s="7">
        <f>G91*2+H91+I91</f>
        <v/>
      </c>
      <c r="K91" s="7">
        <f>ROUNDUP(A91/3,0)</f>
        <v/>
      </c>
      <c r="L91" s="5" t="inlineStr">
        <is>
          <t>ポイントサービス（楽天）</t>
        </is>
      </c>
      <c r="M91" s="5" t="inlineStr">
        <is>
          <t>楽天で可</t>
        </is>
      </c>
      <c r="N91" s="5" t="inlineStr">
        <is>
          <t>推定</t>
        </is>
      </c>
    </row>
    <row r="92" ht="34" customHeight="1">
      <c r="A92" s="4">
        <f>RANK(J92,$J$5:$J$104)+COUNTIF($J$5:J92,J92)-1</f>
        <v/>
      </c>
      <c r="B92" s="5" t="inlineStr">
        <is>
          <t>詐欺メール・SMSの見分け</t>
        </is>
      </c>
      <c r="C92" s="5" t="inlineStr">
        <is>
          <t>お金</t>
        </is>
      </c>
      <c r="D92" s="5" t="inlineStr">
        <is>
          <t>自分で判断して不安</t>
        </is>
      </c>
      <c r="E92" s="5" t="inlineStr">
        <is>
          <t>迷惑SMSフィルターを入れ、怪しいURLは開く前にAIに確認させる</t>
        </is>
      </c>
      <c r="F92" s="5" t="inlineStr">
        <is>
          <t>迷惑SMSフィルター、AI</t>
        </is>
      </c>
      <c r="G92" s="6" t="n">
        <v>4</v>
      </c>
      <c r="H92" s="6" t="n">
        <v>4</v>
      </c>
      <c r="I92" s="6" t="n">
        <v>1</v>
      </c>
      <c r="J92" s="7">
        <f>G92*2+H92+I92</f>
        <v/>
      </c>
      <c r="K92" s="7">
        <f>ROUNDUP(A92/3,0)</f>
        <v/>
      </c>
      <c r="L92" s="5" t="inlineStr">
        <is>
          <t>広告なし（信用を守る方針）</t>
        </is>
      </c>
      <c r="M92" s="5" t="inlineStr">
        <is>
          <t>—</t>
        </is>
      </c>
      <c r="N92" s="5" t="inlineStr">
        <is>
          <t>推定</t>
        </is>
      </c>
    </row>
    <row r="93" ht="34" customHeight="1">
      <c r="A93" s="4">
        <f>RANK(J93,$J$5:$J$104)+COUNTIF($J$5:J93,J93)-1</f>
        <v/>
      </c>
      <c r="B93" s="5" t="inlineStr">
        <is>
          <t>口コミへの返信</t>
        </is>
      </c>
      <c r="C93" s="5" t="inlineStr">
        <is>
          <t>飲食店</t>
        </is>
      </c>
      <c r="D93" s="5" t="inlineStr">
        <is>
          <t>時間がなく放置</t>
        </is>
      </c>
      <c r="E93" s="5" t="inlineStr">
        <is>
          <t>AIに返信文の下書きを作らせる</t>
        </is>
      </c>
      <c r="F93" s="5" t="inlineStr">
        <is>
          <t>AI</t>
        </is>
      </c>
      <c r="G93" s="6" t="n">
        <v>3</v>
      </c>
      <c r="H93" s="6" t="n">
        <v>5</v>
      </c>
      <c r="I93" s="6" t="n">
        <v>2</v>
      </c>
      <c r="J93" s="7">
        <f>G93*2+H93+I93</f>
        <v/>
      </c>
      <c r="K93" s="7">
        <f>ROUNDUP(A93/3,0)</f>
        <v/>
      </c>
      <c r="L93" s="5" t="inlineStr">
        <is>
          <t>なし</t>
        </is>
      </c>
      <c r="M93" s="5" t="inlineStr">
        <is>
          <t>—</t>
        </is>
      </c>
      <c r="N93" s="5" t="inlineStr">
        <is>
          <t>推定</t>
        </is>
      </c>
    </row>
    <row r="94" ht="34" customHeight="1">
      <c r="A94" s="4">
        <f>RANK(J94,$J$5:$J$104)+COUNTIF($J$5:J94,J94)-1</f>
        <v/>
      </c>
      <c r="B94" s="5" t="inlineStr">
        <is>
          <t>複数モールの在庫合わせ</t>
        </is>
      </c>
      <c r="C94" s="5" t="inlineStr">
        <is>
          <t>小売・ネットショップ</t>
        </is>
      </c>
      <c r="D94" s="5" t="inlineStr">
        <is>
          <t>モールごとに手で修正</t>
        </is>
      </c>
      <c r="E94" s="5" t="inlineStr">
        <is>
          <t>在庫連携ツールで一括反映</t>
        </is>
      </c>
      <c r="F94" s="5" t="inlineStr">
        <is>
          <t>在庫連携ツール</t>
        </is>
      </c>
      <c r="G94" s="6" t="n">
        <v>3</v>
      </c>
      <c r="H94" s="6" t="n">
        <v>4</v>
      </c>
      <c r="I94" s="6" t="n">
        <v>3</v>
      </c>
      <c r="J94" s="7">
        <f>G94*2+H94+I94</f>
        <v/>
      </c>
      <c r="K94" s="7">
        <f>ROUNDUP(A94/3,0)</f>
        <v/>
      </c>
      <c r="L94" s="5" t="inlineStr">
        <is>
          <t>なし</t>
        </is>
      </c>
      <c r="M94" s="5" t="inlineStr">
        <is>
          <t>—</t>
        </is>
      </c>
      <c r="N94" s="5" t="inlineStr">
        <is>
          <t>推定</t>
        </is>
      </c>
    </row>
    <row r="95" ht="34" customHeight="1">
      <c r="A95" s="4">
        <f>RANK(J95,$J$5:$J$104)+COUNTIF($J$5:J95,J95)-1</f>
        <v/>
      </c>
      <c r="B95" s="5" t="inlineStr">
        <is>
          <t>内見の日程調整</t>
        </is>
      </c>
      <c r="C95" s="5" t="inlineStr">
        <is>
          <t>不動産・管理</t>
        </is>
      </c>
      <c r="D95" s="5" t="inlineStr">
        <is>
          <t>電話で調整</t>
        </is>
      </c>
      <c r="E95" s="5" t="inlineStr">
        <is>
          <t>予約フォームで空き枠から選んでもらう</t>
        </is>
      </c>
      <c r="F95" s="5" t="inlineStr">
        <is>
          <t>予約フォーム</t>
        </is>
      </c>
      <c r="G95" s="6" t="n">
        <v>3</v>
      </c>
      <c r="H95" s="6" t="n">
        <v>5</v>
      </c>
      <c r="I95" s="6" t="n">
        <v>2</v>
      </c>
      <c r="J95" s="7">
        <f>G95*2+H95+I95</f>
        <v/>
      </c>
      <c r="K95" s="7">
        <f>ROUNDUP(A95/3,0)</f>
        <v/>
      </c>
      <c r="L95" s="5" t="inlineStr">
        <is>
          <t>予約システム</t>
        </is>
      </c>
      <c r="M95" s="8" t="inlineStr">
        <is>
          <t>申請候補</t>
        </is>
      </c>
      <c r="N95" s="5" t="inlineStr">
        <is>
          <t>推定</t>
        </is>
      </c>
    </row>
    <row r="96" ht="34" customHeight="1">
      <c r="A96" s="4">
        <f>RANK(J96,$J$5:$J$104)+COUNTIF($J$5:J96,J96)-1</f>
        <v/>
      </c>
      <c r="B96" s="5" t="inlineStr">
        <is>
          <t>工程表と職人への連絡</t>
        </is>
      </c>
      <c r="C96" s="5" t="inlineStr">
        <is>
          <t>建設・リフォーム</t>
        </is>
      </c>
      <c r="D96" s="5" t="inlineStr">
        <is>
          <t>電話とLINEで個別連絡</t>
        </is>
      </c>
      <c r="E96" s="5" t="inlineStr">
        <is>
          <t>共有工程表を更新すると自動で通知</t>
        </is>
      </c>
      <c r="F96" s="5" t="inlineStr">
        <is>
          <t>工程管理アプリ</t>
        </is>
      </c>
      <c r="G96" s="6" t="n">
        <v>3</v>
      </c>
      <c r="H96" s="6" t="n">
        <v>4</v>
      </c>
      <c r="I96" s="6" t="n">
        <v>3</v>
      </c>
      <c r="J96" s="7">
        <f>G96*2+H96+I96</f>
        <v/>
      </c>
      <c r="K96" s="7">
        <f>ROUNDUP(A96/3,0)</f>
        <v/>
      </c>
      <c r="L96" s="5" t="inlineStr">
        <is>
          <t>なし</t>
        </is>
      </c>
      <c r="M96" s="5" t="inlineStr">
        <is>
          <t>—</t>
        </is>
      </c>
      <c r="N96" s="5" t="inlineStr">
        <is>
          <t>推定</t>
        </is>
      </c>
    </row>
    <row r="97" ht="34" customHeight="1">
      <c r="A97" s="4">
        <f>RANK(J97,$J$5:$J$104)+COUNTIF($J$5:J97,J97)-1</f>
        <v/>
      </c>
      <c r="B97" s="5" t="inlineStr">
        <is>
          <t>読書メモ・学びの整理</t>
        </is>
      </c>
      <c r="C97" s="5" t="inlineStr">
        <is>
          <t>健康・学び</t>
        </is>
      </c>
      <c r="D97" s="5" t="inlineStr">
        <is>
          <t>ノートに書いて忘れる</t>
        </is>
      </c>
      <c r="E97" s="5" t="inlineStr">
        <is>
          <t>AIに要約させ、テーマごとに自動整理</t>
        </is>
      </c>
      <c r="F97" s="5" t="inlineStr">
        <is>
          <t>AI、メモアプリ</t>
        </is>
      </c>
      <c r="G97" s="6" t="n">
        <v>3</v>
      </c>
      <c r="H97" s="6" t="n">
        <v>5</v>
      </c>
      <c r="I97" s="6" t="n">
        <v>2</v>
      </c>
      <c r="J97" s="7">
        <f>G97*2+H97+I97</f>
        <v/>
      </c>
      <c r="K97" s="7">
        <f>ROUNDUP(A97/3,0)</f>
        <v/>
      </c>
      <c r="L97" s="5" t="inlineStr">
        <is>
          <t>本（楽天）</t>
        </is>
      </c>
      <c r="M97" s="5" t="inlineStr">
        <is>
          <t>楽天で可</t>
        </is>
      </c>
      <c r="N97" s="5" t="inlineStr">
        <is>
          <t>推定</t>
        </is>
      </c>
    </row>
    <row r="98" ht="34" customHeight="1">
      <c r="A98" s="4">
        <f>RANK(J98,$J$5:$J$104)+COUNTIF($J$5:J98,J98)-1</f>
        <v/>
      </c>
      <c r="B98" s="5" t="inlineStr">
        <is>
          <t>作業中の音楽選び</t>
        </is>
      </c>
      <c r="C98" s="5" t="inlineStr">
        <is>
          <t>健康・学び</t>
        </is>
      </c>
      <c r="D98" s="5" t="inlineStr">
        <is>
          <t>毎回選ぶ</t>
        </is>
      </c>
      <c r="E98" s="5" t="inlineStr">
        <is>
          <t>音楽配信の自動プレイリストに任せる</t>
        </is>
      </c>
      <c r="F98" s="5" t="inlineStr">
        <is>
          <t>音楽配信</t>
        </is>
      </c>
      <c r="G98" s="6" t="n">
        <v>2</v>
      </c>
      <c r="H98" s="6" t="n">
        <v>5</v>
      </c>
      <c r="I98" s="6" t="n">
        <v>4</v>
      </c>
      <c r="J98" s="7">
        <f>G98*2+H98+I98</f>
        <v/>
      </c>
      <c r="K98" s="7">
        <f>ROUNDUP(A98/3,0)</f>
        <v/>
      </c>
      <c r="L98" s="5" t="inlineStr">
        <is>
          <t>音楽配信</t>
        </is>
      </c>
      <c r="M98" s="5" t="inlineStr">
        <is>
          <t>要確認</t>
        </is>
      </c>
      <c r="N98" s="5" t="inlineStr">
        <is>
          <t>推定</t>
        </is>
      </c>
    </row>
    <row r="99" ht="34" customHeight="1">
      <c r="A99" s="4">
        <f>RANK(J99,$J$5:$J$104)+COUNTIF($J$5:J99,J99)-1</f>
        <v/>
      </c>
      <c r="B99" s="5" t="inlineStr">
        <is>
          <t>アクセスや数字の記録</t>
        </is>
      </c>
      <c r="C99" s="5" t="inlineStr">
        <is>
          <t>SNS・発信</t>
        </is>
      </c>
      <c r="D99" s="5" t="inlineStr">
        <is>
          <t>毎日ダッシュボードを見る</t>
        </is>
      </c>
      <c r="E99" s="5" t="inlineStr">
        <is>
          <t>数字を自動で表に記録し、週1回レポートが届く</t>
        </is>
      </c>
      <c r="F99" s="5" t="inlineStr">
        <is>
          <t>スプレッドシート、AI</t>
        </is>
      </c>
      <c r="G99" s="6" t="n">
        <v>3</v>
      </c>
      <c r="H99" s="6" t="n">
        <v>5</v>
      </c>
      <c r="I99" s="6" t="n">
        <v>2</v>
      </c>
      <c r="J99" s="7">
        <f>G99*2+H99+I99</f>
        <v/>
      </c>
      <c r="K99" s="7">
        <f>ROUNDUP(A99/3,0)</f>
        <v/>
      </c>
      <c r="L99" s="5" t="inlineStr">
        <is>
          <t>なし</t>
        </is>
      </c>
      <c r="M99" s="5" t="inlineStr">
        <is>
          <t>—</t>
        </is>
      </c>
      <c r="N99" s="5" t="inlineStr">
        <is>
          <t>調査あり⑨</t>
        </is>
      </c>
    </row>
    <row r="100" ht="34" customHeight="1">
      <c r="A100" s="4">
        <f>RANK(J100,$J$5:$J$104)+COUNTIF($J$5:J100,J100)-1</f>
        <v/>
      </c>
      <c r="B100" s="5" t="inlineStr">
        <is>
          <t>習い事・送迎の調整</t>
        </is>
      </c>
      <c r="C100" s="5" t="inlineStr">
        <is>
          <t>子育て・家族</t>
        </is>
      </c>
      <c r="D100" s="5" t="inlineStr">
        <is>
          <t>毎週やりとり</t>
        </is>
      </c>
      <c r="E100" s="5" t="inlineStr">
        <is>
          <t>共有カレンダーと自動リマインドで担当を見える化</t>
        </is>
      </c>
      <c r="F100" s="5" t="inlineStr">
        <is>
          <t>共有カレンダー</t>
        </is>
      </c>
      <c r="G100" s="6" t="n">
        <v>3</v>
      </c>
      <c r="H100" s="6" t="n">
        <v>4</v>
      </c>
      <c r="I100" s="6" t="n">
        <v>2</v>
      </c>
      <c r="J100" s="7">
        <f>G100*2+H100+I100</f>
        <v/>
      </c>
      <c r="K100" s="7">
        <f>ROUNDUP(A100/3,0)</f>
        <v/>
      </c>
      <c r="L100" s="5" t="inlineStr">
        <is>
          <t>なし</t>
        </is>
      </c>
      <c r="M100" s="5" t="inlineStr">
        <is>
          <t>—</t>
        </is>
      </c>
      <c r="N100" s="5" t="inlineStr">
        <is>
          <t>推定</t>
        </is>
      </c>
    </row>
    <row r="101" ht="34" customHeight="1">
      <c r="A101" s="4">
        <f>RANK(J101,$J$5:$J$104)+COUNTIF($J$5:J101,J101)-1</f>
        <v/>
      </c>
      <c r="B101" s="5" t="inlineStr">
        <is>
          <t>教材費などの集金</t>
        </is>
      </c>
      <c r="C101" s="5" t="inlineStr">
        <is>
          <t>教育</t>
        </is>
      </c>
      <c r="D101" s="5" t="inlineStr">
        <is>
          <t>現金を集めて数える</t>
        </is>
      </c>
      <c r="E101" s="5" t="inlineStr">
        <is>
          <t>口座振替やキャッシュレスで自動集金</t>
        </is>
      </c>
      <c r="F101" s="5" t="inlineStr">
        <is>
          <t>集金サービス</t>
        </is>
      </c>
      <c r="G101" s="6" t="n">
        <v>3</v>
      </c>
      <c r="H101" s="6" t="n">
        <v>4</v>
      </c>
      <c r="I101" s="6" t="n">
        <v>2</v>
      </c>
      <c r="J101" s="7">
        <f>G101*2+H101+I101</f>
        <v/>
      </c>
      <c r="K101" s="7">
        <f>ROUNDUP(A101/3,0)</f>
        <v/>
      </c>
      <c r="L101" s="5" t="inlineStr">
        <is>
          <t>なし</t>
        </is>
      </c>
      <c r="M101" s="5" t="inlineStr">
        <is>
          <t>—</t>
        </is>
      </c>
      <c r="N101" s="5" t="inlineStr">
        <is>
          <t>調査あり⑫</t>
        </is>
      </c>
    </row>
    <row r="102" ht="34" customHeight="1">
      <c r="A102" s="4">
        <f>RANK(J102,$J$5:$J$104)+COUNTIF($J$5:J102,J102)-1</f>
        <v/>
      </c>
      <c r="B102" s="5" t="inlineStr">
        <is>
          <t>洗剤や調味料の詰め替え</t>
        </is>
      </c>
      <c r="C102" s="5" t="inlineStr">
        <is>
          <t>家事</t>
        </is>
      </c>
      <c r="D102" s="5" t="inlineStr">
        <is>
          <t>切れるたびに詰め替え</t>
        </is>
      </c>
      <c r="E102" s="5" t="inlineStr">
        <is>
          <t>大容量品と定期便で詰め替えの回数を減らす</t>
        </is>
      </c>
      <c r="F102" s="5" t="inlineStr">
        <is>
          <t>大容量品、定期便</t>
        </is>
      </c>
      <c r="G102" s="6" t="n">
        <v>3</v>
      </c>
      <c r="H102" s="6" t="n">
        <v>3</v>
      </c>
      <c r="I102" s="6" t="n">
        <v>2</v>
      </c>
      <c r="J102" s="7">
        <f>G102*2+H102+I102</f>
        <v/>
      </c>
      <c r="K102" s="7">
        <f>ROUNDUP(A102/3,0)</f>
        <v/>
      </c>
      <c r="L102" s="5" t="inlineStr">
        <is>
          <t>日用品（楽天）</t>
        </is>
      </c>
      <c r="M102" s="5" t="inlineStr">
        <is>
          <t>楽天で可</t>
        </is>
      </c>
      <c r="N102" s="5" t="inlineStr">
        <is>
          <t>調査あり②</t>
        </is>
      </c>
    </row>
    <row r="103" ht="34" customHeight="1">
      <c r="A103" s="4">
        <f>RANK(J103,$J$5:$J$104)+COUNTIF($J$5:J103,J103)-1</f>
        <v/>
      </c>
      <c r="B103" s="5" t="inlineStr">
        <is>
          <t>植物の水やり</t>
        </is>
      </c>
      <c r="C103" s="5" t="inlineStr">
        <is>
          <t>家事</t>
        </is>
      </c>
      <c r="D103" s="5" t="inlineStr">
        <is>
          <t>毎日手で</t>
        </is>
      </c>
      <c r="E103" s="5" t="inlineStr">
        <is>
          <t>自動水やり器にタイマーで任せる</t>
        </is>
      </c>
      <c r="F103" s="5" t="inlineStr">
        <is>
          <t>自動水やり器</t>
        </is>
      </c>
      <c r="G103" s="6" t="n">
        <v>2</v>
      </c>
      <c r="H103" s="6" t="n">
        <v>5</v>
      </c>
      <c r="I103" s="6" t="n">
        <v>2</v>
      </c>
      <c r="J103" s="7">
        <f>G103*2+H103+I103</f>
        <v/>
      </c>
      <c r="K103" s="7">
        <f>ROUNDUP(A103/3,0)</f>
        <v/>
      </c>
      <c r="L103" s="5" t="inlineStr">
        <is>
          <t>園芸用品（楽天）</t>
        </is>
      </c>
      <c r="M103" s="5" t="inlineStr">
        <is>
          <t>楽天で可</t>
        </is>
      </c>
      <c r="N103" s="5" t="inlineStr">
        <is>
          <t>推定</t>
        </is>
      </c>
    </row>
    <row r="104" ht="34" customHeight="1">
      <c r="A104" s="4">
        <f>RANK(J104,$J$5:$J$104)+COUNTIF($J$5:J104,J104)-1</f>
        <v/>
      </c>
      <c r="B104" s="5" t="inlineStr">
        <is>
          <t>送迎ルートの作成</t>
        </is>
      </c>
      <c r="C104" s="5" t="inlineStr">
        <is>
          <t>介護</t>
        </is>
      </c>
      <c r="D104" s="5" t="inlineStr">
        <is>
          <t>毎日手で組む</t>
        </is>
      </c>
      <c r="E104" s="5" t="inlineStr">
        <is>
          <t>利用者の住所から自動でルート作成</t>
        </is>
      </c>
      <c r="F104" s="5" t="inlineStr">
        <is>
          <t>送迎管理ソフト</t>
        </is>
      </c>
      <c r="G104" s="6" t="n">
        <v>3</v>
      </c>
      <c r="H104" s="6" t="n">
        <v>3</v>
      </c>
      <c r="I104" s="6" t="n">
        <v>2</v>
      </c>
      <c r="J104" s="7">
        <f>G104*2+H104+I104</f>
        <v/>
      </c>
      <c r="K104" s="7">
        <f>ROUNDUP(A104/3,0)</f>
        <v/>
      </c>
      <c r="L104" s="5" t="inlineStr">
        <is>
          <t>なし</t>
        </is>
      </c>
      <c r="M104" s="5" t="inlineStr">
        <is>
          <t>—</t>
        </is>
      </c>
      <c r="N104" s="5" t="inlineStr">
        <is>
          <t>推定</t>
        </is>
      </c>
    </row>
  </sheetData>
  <autoFilter ref="A4:N1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6" customWidth="1" min="1" max="1"/>
    <col width="8" customWidth="1" min="2" max="2"/>
    <col width="70" customWidth="1" min="3" max="3"/>
  </cols>
  <sheetData>
    <row r="1">
      <c r="A1" s="10" t="inlineStr">
        <is>
          <t>自動化記事で案内できる広告の状況</t>
        </is>
      </c>
    </row>
    <row r="3">
      <c r="A3" s="11" t="inlineStr">
        <is>
          <t>状況</t>
        </is>
      </c>
      <c r="B3" s="11" t="inlineStr">
        <is>
          <t>件数</t>
        </is>
      </c>
      <c r="C3" s="11" t="inlineStr">
        <is>
          <t>意味</t>
        </is>
      </c>
    </row>
    <row r="4">
      <c r="A4" s="5" t="inlineStr">
        <is>
          <t>提携済み</t>
        </is>
      </c>
      <c r="B4" s="5">
        <f>COUNTIF('ランキング100'!M5:M104,"提携済み")</f>
        <v/>
      </c>
      <c r="C4" s="5" t="inlineStr">
        <is>
          <t>A8で提携済みのジャンル（宅配食・家事代行・クリーニング・買取・講座・レンタル）。すぐ案内できる</t>
        </is>
      </c>
    </row>
    <row r="5">
      <c r="A5" s="5" t="inlineStr">
        <is>
          <t>楽天で可</t>
        </is>
      </c>
      <c r="B5" s="5">
        <f>COUNTIF('ランキング100'!M5:M104,"楽天で可")</f>
        <v/>
      </c>
      <c r="C5" s="5" t="inlineStr">
        <is>
          <t>家電・日用品などは楽天アフィリエイトで案内できる</t>
        </is>
      </c>
    </row>
    <row r="6">
      <c r="A6" s="5" t="inlineStr">
        <is>
          <t>申請候補</t>
        </is>
      </c>
      <c r="B6" s="5">
        <f>COUNTIF('ランキング100'!M5:M104,"申請候補")</f>
        <v/>
      </c>
      <c r="C6" s="5" t="inlineStr">
        <is>
          <t>会計ソフト・予約システム・勤怠など。A8で探して提携申請が必要（未確保）</t>
        </is>
      </c>
    </row>
    <row r="7">
      <c r="A7" s="5" t="inlineStr">
        <is>
          <t>要確認</t>
        </is>
      </c>
      <c r="B7" s="5">
        <f>COUNTIF('ランキング100'!M5:M104,"要確認")</f>
        <v/>
      </c>
      <c r="C7" s="5" t="inlineStr">
        <is>
          <t>動画配信・音楽配信。提携しているか確認が必要</t>
        </is>
      </c>
    </row>
    <row r="8">
      <c r="A8" s="5" t="inlineStr">
        <is>
          <t>自社</t>
        </is>
      </c>
      <c r="B8" s="5">
        <f>COUNTIF('ランキング100'!M5:M104,"自社")</f>
        <v/>
      </c>
      <c r="C8" s="5" t="inlineStr">
        <is>
          <t>オリシャン開業パッケージへ誘導</t>
        </is>
      </c>
    </row>
    <row r="9">
      <c r="A9" s="5" t="inlineStr">
        <is>
          <t>—（広告なし）</t>
        </is>
      </c>
      <c r="B9" s="5">
        <f>COUNTIF('ランキング100'!M5:M104,"—")</f>
        <v/>
      </c>
      <c r="C9" s="5" t="inlineStr">
        <is>
          <t>広告はなし。アクトシステムズ（システム開発）への相談に誘導する枠</t>
        </is>
      </c>
    </row>
    <row r="10">
      <c r="A10" s="5" t="inlineStr">
        <is>
          <t>合計</t>
        </is>
      </c>
      <c r="B10" s="5">
        <f>SUM(B4:B9)</f>
        <v/>
      </c>
      <c r="C10"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11" customWidth="1" min="1" max="1"/>
    <col width="70" customWidth="1" min="2" max="2"/>
    <col width="60" customWidth="1" min="3" max="3"/>
  </cols>
  <sheetData>
    <row r="1">
      <c r="A1" s="10" t="inlineStr">
        <is>
          <t>根拠にした調査（「推定」はAIの判断）</t>
        </is>
      </c>
    </row>
    <row r="3">
      <c r="A3" s="11" t="inlineStr">
        <is>
          <t>番号</t>
        </is>
      </c>
      <c r="B3" s="11" t="inlineStr">
        <is>
          <t>内容</t>
        </is>
      </c>
      <c r="C3" s="11" t="inlineStr">
        <is>
          <t>出典</t>
        </is>
      </c>
    </row>
    <row r="4">
      <c r="A4" s="5" t="inlineStr">
        <is>
          <t>①</t>
        </is>
      </c>
      <c r="B4" s="5" t="inlineStr">
        <is>
          <t>名もなき家事で最もストレスなのは「献立を考える」68.4%、2位は排水口のゴミ取り、3位は衣類の整理</t>
        </is>
      </c>
      <c r="C4" s="5" t="inlineStr">
        <is>
          <t>ワンコンパス調査（2019） https://resemom.jp/release/prtimes/20190919/56681.html</t>
        </is>
      </c>
    </row>
    <row r="5">
      <c r="A5" s="5" t="inlineStr">
        <is>
          <t>②</t>
        </is>
      </c>
      <c r="B5" s="5" t="inlineStr">
        <is>
          <t>面倒くさい家事ランキング：1位料理、2位洗濯物を干す、3位お風呂掃除。以下、掃除機がけ・洗濯物をたたむ・詰め替えなど</t>
        </is>
      </c>
      <c r="C5" s="5" t="inlineStr">
        <is>
          <t>さぶろぐ調査（2022） https://www.kobe-np.co.jp/rentoku/omoshiro/202202/sp/0015050200.shtml</t>
        </is>
      </c>
    </row>
    <row r="6">
      <c r="A6" s="5" t="inlineStr">
        <is>
          <t>③</t>
        </is>
      </c>
      <c r="B6" s="5" t="inlineStr">
        <is>
          <t>後回しにしたい家事の上位に食器洗い</t>
        </is>
      </c>
      <c r="C6" s="5" t="inlineStr">
        <is>
          <t>さぶろぐ調査 https://news.allabout.co.jp/articles/o/38224/</t>
        </is>
      </c>
    </row>
    <row r="7">
      <c r="A7" s="5" t="inlineStr">
        <is>
          <t>④</t>
        </is>
      </c>
      <c r="B7" s="5" t="inlineStr">
        <is>
          <t>面倒な家事の1位はキッチン換気扇やコンロ掃除（500人）</t>
        </is>
      </c>
      <c r="C7" s="5" t="inlineStr">
        <is>
          <t>All About https://allabout.co.jp/gm/gc/489846/</t>
        </is>
      </c>
    </row>
    <row r="8">
      <c r="A8" s="5" t="inlineStr">
        <is>
          <t>⑤</t>
        </is>
      </c>
      <c r="B8" s="5" t="inlineStr">
        <is>
          <t>中小企業の経理の困りごと：1位は伝票・帳簿・仕訳入力、経費精算と給与計算も多い（362人）</t>
        </is>
      </c>
      <c r="C8" s="5" t="inlineStr">
        <is>
          <t>日経クロステック Active https://active.nikkeibp.co.jp/atcl/wp/b/25/03/17/05339/</t>
        </is>
      </c>
    </row>
    <row r="9">
      <c r="A9" s="5" t="inlineStr">
        <is>
          <t>⑥</t>
        </is>
      </c>
      <c r="B9" s="5" t="inlineStr">
        <is>
          <t>個人事業主のストレス1位は「納税や確定申告」70.7%（600人）</t>
        </is>
      </c>
      <c r="C9" s="5" t="inlineStr">
        <is>
          <t>J-CAST（アメックス調査2023） https://www.j-cast.com/kaisha/2023/03/08457439.html</t>
        </is>
      </c>
    </row>
    <row r="10">
      <c r="A10" s="5" t="inlineStr">
        <is>
          <t>⑦</t>
        </is>
      </c>
      <c r="B10" s="5" t="inlineStr">
        <is>
          <t>飲食店経営者の60.8%が月200時間以上労働。原因にアナログな事務作業</t>
        </is>
      </c>
      <c r="C10" s="5" t="inlineStr">
        <is>
          <t>飲食店ドットコム（2026年1月） https://www.inshokuten.com/foodist/article/8206/</t>
        </is>
      </c>
    </row>
    <row r="11">
      <c r="A11" s="5" t="inlineStr">
        <is>
          <t>⑧</t>
        </is>
      </c>
      <c r="B11" s="5" t="inlineStr">
        <is>
          <t>小規模事業者の34%が在庫管理を課題に挙げる</t>
        </is>
      </c>
      <c r="C11" s="5" t="inlineStr">
        <is>
          <t>HandiFox 2026調査</t>
        </is>
      </c>
    </row>
    <row r="12">
      <c r="A12" s="5" t="inlineStr">
        <is>
          <t>⑨</t>
        </is>
      </c>
      <c r="B12" s="5" t="inlineStr">
        <is>
          <t>note「#自動化したいこと」応募作品（note投稿・情報収集・ファイル整理・ケアマネの書類・番組検索・数字の記録など）</t>
        </is>
      </c>
      <c r="C12" s="5" t="inlineStr">
        <is>
          <t>https://note.com/tag/manus</t>
        </is>
      </c>
    </row>
    <row r="13">
      <c r="A13" s="5" t="inlineStr">
        <is>
          <t>⑩</t>
        </is>
      </c>
      <c r="B13" s="5" t="inlineStr">
        <is>
          <t>レンタルサーバーのアフィリエイト報酬例：5,000〜10,000円/件</t>
        </is>
      </c>
      <c r="C13" s="5" t="inlineStr">
        <is>
          <t>エックスサーバー https://www.xserver.ne.jp/feature/affiliate.php</t>
        </is>
      </c>
    </row>
    <row r="14">
      <c r="A14" s="5" t="inlineStr">
        <is>
          <t>⑪</t>
        </is>
      </c>
      <c r="B14" s="5" t="inlineStr">
        <is>
          <t>介護職員の不足と書類業務の簡素化が課題</t>
        </is>
      </c>
      <c r="C14" s="5" t="inlineStr">
        <is>
          <t>なんじょう苑グループ調査 https://ryukyushimpo.jp/prtimes/entry-5191050.html</t>
        </is>
      </c>
    </row>
    <row r="15">
      <c r="A15" s="5" t="inlineStr">
        <is>
          <t>⑫</t>
        </is>
      </c>
      <c r="B15" s="5" t="inlineStr">
        <is>
          <t>教員の負担感が高い業務：事務・報告書の作成、成績処理、保護者対応、集金</t>
        </is>
      </c>
      <c r="C15" s="5" t="inlineStr">
        <is>
          <t>東京学芸大学の研究、群馬県資料 https://u-gakugei.repo.nii.ac.jp/record/49329/</t>
        </is>
      </c>
    </row>
    <row r="16">
      <c r="A16" s="5" t="inlineStr">
        <is>
          <t>自社の実例</t>
        </is>
      </c>
      <c r="B16" s="5" t="inlineStr">
        <is>
          <t>スコヤホーム（点検カルテ・見積）、tabletto（レジ・モバイルオーダー）、不動産の問い合わせ受付、オリシャン</t>
        </is>
      </c>
      <c r="C16" s="5" t="inlineStr">
        <is>
          <t>実際に作ったもの・提案したもの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2026-10-15T12:26:33Z</dcterms:created>
  <dcterms:modified xsi:type="dcterms:W3CDTF">2026-10-15T12:26:33Z</dcterms:modified>
</cp:coreProperties>
</file>